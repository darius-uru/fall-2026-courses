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darius/Downloads/"/>
    </mc:Choice>
  </mc:AlternateContent>
  <xr:revisionPtr revIDLastSave="0" documentId="13_ncr:1_{F36BDB3D-EEFE-5041-AD01-F46F2D6931BF}" xr6:coauthVersionLast="47" xr6:coauthVersionMax="47" xr10:uidLastSave="{00000000-0000-0000-0000-000000000000}"/>
  <bookViews>
    <workbookView xWindow="4420" yWindow="660" windowWidth="24980" windowHeight="17180" tabRatio="500" activeTab="5" xr2:uid="{00000000-000D-0000-FFFF-FFFF00000000}"/>
  </bookViews>
  <sheets>
    <sheet name="Cover" sheetId="1" r:id="rId1"/>
    <sheet name="Exp1 Diode" sheetId="2" r:id="rId2"/>
    <sheet name="Exp2 Lamp" sheetId="3" r:id="rId3"/>
    <sheet name="Exp3 FuncGen Zout" sheetId="4" r:id="rId4"/>
    <sheet name="Exp4 RC" sheetId="5" r:id="rId5"/>
    <sheet name="Exp5 Bridge" sheetId="6" r:id="rId6"/>
    <sheet name="Background Qs"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6" i="6" l="1"/>
  <c r="E25" i="6"/>
  <c r="D26" i="6"/>
  <c r="F19" i="6"/>
  <c r="D25" i="6"/>
  <c r="B26" i="6"/>
  <c r="C26" i="6" s="1"/>
  <c r="B25" i="6"/>
  <c r="C25" i="6" s="1"/>
  <c r="C36" i="5"/>
  <c r="B36" i="5"/>
  <c r="E36" i="5" s="1"/>
  <c r="C35" i="5"/>
  <c r="B35" i="5"/>
  <c r="E35" i="5" s="1"/>
  <c r="B23" i="5"/>
  <c r="B22" i="5"/>
  <c r="B14" i="7"/>
  <c r="B15" i="7" s="1"/>
  <c r="B27" i="4"/>
  <c r="D24" i="4"/>
  <c r="D23" i="4"/>
  <c r="D22" i="4"/>
  <c r="B26" i="4" s="1"/>
  <c r="D21" i="4"/>
  <c r="D20" i="4"/>
  <c r="D19" i="4"/>
  <c r="D32" i="3"/>
  <c r="D31" i="3"/>
  <c r="D30" i="3"/>
  <c r="D29" i="3"/>
  <c r="D28" i="3"/>
  <c r="D27" i="3"/>
  <c r="D26" i="3"/>
  <c r="D25" i="3"/>
  <c r="D24" i="3"/>
  <c r="D23" i="3"/>
  <c r="D22" i="3"/>
  <c r="B34" i="3" s="1"/>
  <c r="B42" i="2"/>
  <c r="B41" i="2"/>
  <c r="B40" i="2"/>
  <c r="D35" i="5" l="1"/>
  <c r="D36" i="5"/>
</calcChain>
</file>

<file path=xl/sharedStrings.xml><?xml version="1.0" encoding="utf-8"?>
<sst xmlns="http://schemas.openxmlformats.org/spreadsheetml/2006/main" count="353" uniqueCount="244">
  <si>
    <t>Name</t>
  </si>
  <si>
    <t>Darius Gichuru</t>
  </si>
  <si>
    <t>Course</t>
  </si>
  <si>
    <t>PHYS485</t>
  </si>
  <si>
    <t>Lab</t>
  </si>
  <si>
    <t>Lab 2 — Diode I-V, Lamp I-V, Oscilloscope/Function Generator, RC Time Constant, Wheatstone Bridge</t>
  </si>
  <si>
    <t>Date performed</t>
  </si>
  <si>
    <t>09/09/2026</t>
  </si>
  <si>
    <t>Sheet guide</t>
  </si>
  <si>
    <t>Tabs in this workbook</t>
  </si>
  <si>
    <t>Cover | Exp1 Diode | Exp2 Lamp | Exp3 FuncGen Zout | Exp4 RC | Exp5 Bridge | Background Qs | Final Summary</t>
  </si>
  <si>
    <t>Important limits before turning anything on</t>
  </si>
  <si>
    <t>#47 lamp (Exp. 2)</t>
  </si>
  <si>
    <t>V ≤ 6.3 V, I ≤ 0.15 A, P ≤ 0.945 W — stay a bit below all three simultaneously.</t>
  </si>
  <si>
    <t>IN914 diode (Exp. 1)</t>
  </si>
  <si>
    <t>Always use the current-limiting resistor. DC Forward Current rating I_F = 300 mA (closest match to a 'burn-up' limit; I_O = 200 mA average-rectified and I_f = 400 mA recurrent-peak are related but distinct ratings — [VERIFY WHICH RATING TO RECORD]). Worst case with the 1 kΩ series resistor and 5 V supply is ≈ 5 mA, far below any of these.</t>
  </si>
  <si>
    <t>Function generator (Exp. 3)</t>
  </si>
  <si>
    <t>NEVER short the output.</t>
  </si>
  <si>
    <t>Scope / func. gen. common ground (Exp. 3 &amp; 4)</t>
  </si>
  <si>
    <t>Scope ground and function-generator ground are tied together through the building grounding system — both ground leads must always land on the SAME circuit node.</t>
  </si>
  <si>
    <t>Wheatstone bridge (Exp. 5)</t>
  </si>
  <si>
    <t>Supply is the power supply's fixed 5 V terminals only. Never measure a resistor's value with the multimeter while it is still connected in an energized circuit.</t>
  </si>
  <si>
    <t>IN914 datasheet ratings (ON Semiconductor 1N914/D Rev.4, T_A = 25°C)</t>
  </si>
  <si>
    <t>Average Rectified Forward Current (I_O)</t>
  </si>
  <si>
    <t>200 mA</t>
  </si>
  <si>
    <t>DC Forward Current (I_F)</t>
  </si>
  <si>
    <t>300 mA</t>
  </si>
  <si>
    <t>Recurrent Peak Forward Current (I_f)</t>
  </si>
  <si>
    <t>400 mA</t>
  </si>
  <si>
    <t>Non-repetitive Peak Forward Surge Current (I_FSM, 1.0 s pulse)</t>
  </si>
  <si>
    <t>1.0 A</t>
  </si>
  <si>
    <t>Maximum Repetitive Reverse Voltage (V_RRM)</t>
  </si>
  <si>
    <t>100 V</t>
  </si>
  <si>
    <t>Power Dissipation (P_D)</t>
  </si>
  <si>
    <t>500 mW</t>
  </si>
  <si>
    <t>Source / integrity note</t>
  </si>
  <si>
    <t>Note</t>
  </si>
  <si>
    <t>Built from three uploaded sources (ELMS prelab, PHYS485/685 Lab 2 supplement, handwritten lecture notes). The physical Hayes textbook (2N.1–2N.5, 1L.5, 1L.6, 1L.7, 2L.1.1) was not available, so nothing here is presented as a direct textbook quotation — flagged as [VERIFY AGAINST PHYSICAL HAYES TEXTBOOK] where the reading is genuinely needed. The Lab 2 supplement overrides the handwritten procedure wherever the two disagree (mystery boxes → lamp only; RC 'deduce R,C' → measure tau only; 1L.7 risetime → output-impedance only). Superseded material is kept only as background/pre-lab prep, explicitly labeled not performed.</t>
  </si>
  <si>
    <t>Experiment 1 — 1L.5 Diode I-V Characteristic</t>
  </si>
  <si>
    <t>Objective</t>
  </si>
  <si>
    <t>Measure the current-voltage characteristic of an IN914 diode in forward and reverse bias, and plot it on linear and semilog axes.</t>
  </si>
  <si>
    <t>Key formula</t>
  </si>
  <si>
    <t>Diode law: I = I_s * [exp(V_d / (n*V_T)) - 1],  V_T = kT/q ≈ 25.85 mV at room temp. I_s and n are properties of this specific device (not looked up).</t>
  </si>
  <si>
    <t>Pre-Lab Predictions</t>
  </si>
  <si>
    <t>Forward bias</t>
  </si>
  <si>
    <t>Current stays near zero for small V_d, then rises steeply once V_d approaches the silicon turn-on region (roughly a few tenths of a volt to ~0.7 V — exact value is measured, not assumed).</t>
  </si>
  <si>
    <t>Reverse bias</t>
  </si>
  <si>
    <t>Current stays very small and roughly flat (near the meter's resolution) as reverse voltage increases.</t>
  </si>
  <si>
    <t>Shape</t>
  </si>
  <si>
    <t>Strongly asymmetric, non-Ohmic curve; a straight line on a semilog (forward-current) plot over the exponential region.</t>
  </si>
  <si>
    <t>Approaching conduction region</t>
  </si>
  <si>
    <t>Current increases very rapidly (many orders of magnitude for a small increase in V_d) — why the series resistor is required.</t>
  </si>
  <si>
    <t>Circuit Setup</t>
  </si>
  <si>
    <t>Description</t>
  </si>
  <si>
    <t>+5 V supply → 1 kΩ fixed resistor → 100 kΩ pot (wired as 2-terminal variable resistor: slider + one end, third 'dummy' terminal unconnected) → ammeter in series → node. At that node, the IN914 diode and the voltmeter are in parallel, down to GND. Ammeter reads (diode current + voltmeter current, small error since voltmeter R_in is large). Voltmeter reads the true diode voltage directly. Diode polarity set by physical orientation (cathode band) — flip the diode to reverse bias. Start with pot resistance at 0 Ω (max available current for that configuration).</t>
  </si>
  <si>
    <t>Circuit diagram (paste image here)</t>
  </si>
  <si>
    <t>Photo of constructed circuit</t>
  </si>
  <si>
    <t>Measured Data — Forward Bias</t>
  </si>
  <si>
    <t>Point #</t>
  </si>
  <si>
    <t>V_diode (V)</t>
  </si>
  <si>
    <t>I_diode (A)</t>
  </si>
  <si>
    <t>Reverse Bias Data</t>
  </si>
  <si>
    <t>Computed range (from entered forward-bias data)</t>
  </si>
  <si>
    <t>Min V_diode (V)</t>
  </si>
  <si>
    <t>Max V_diode (V)</t>
  </si>
  <si>
    <t>Usable diode-voltage range (V)</t>
  </si>
  <si>
    <t>Questions and Pre-Lab Answers</t>
  </si>
  <si>
    <t>Q:</t>
  </si>
  <si>
    <t>What is the pot's usable diode-voltage range, as found experimentally? Why do you think the circuit was designed to have this limited range?</t>
  </si>
  <si>
    <t>A:</t>
  </si>
  <si>
    <t>See computed range above (≈ 0.22 V from the forward-bias data entered — recompute once reverse-bias points are added). The range is limited because the diode's forward voltage is pinned close to its turn-on value over a huge range of currents — once forward biased, the diode voltage barely changes even as the pot varies the current by orders of magnitude. The diode-voltage range you can explore is narrow, even though the current range is huge; that's why the semilog current plot is more useful than sweeping voltage finely.</t>
  </si>
  <si>
    <t>How would you summarize the voltage vs. current behavior of a diode?</t>
  </si>
  <si>
    <t>Strongly nonlinear and asymmetric: essentially no current flows in reverse bias (a tiny, roughly voltage-independent leakage current), while in forward bias the current rises exponentially once the voltage approaches the device's turn-on region, per I = I_s[exp(V_d/nV_T)-1].</t>
  </si>
  <si>
    <t>What would happen if you were to put 5 V directly across the diode without adequate current limiting?</t>
  </si>
  <si>
    <t>The exponential law means the current would be enormous (far beyond any datasheet rating) for even a modest overshoot past the normal forward-conduction voltage — the diode would draw far more than its maximum rated current (200–400 mA range) and would likely be destroyed by excessive power dissipation. This is exactly why the 1 kΩ series resistor is mandatory.</t>
  </si>
  <si>
    <t>Why is the diode-voltage range intentionally limited (via the pot/series resistor)?</t>
  </si>
  <si>
    <t>To keep the operating point inside the diode's safe current rating no matter how the pot is adjusted (worst case ≈ 5 mA with the 1 kΩ resistor and 5 V supply).</t>
  </si>
  <si>
    <t>Why is a current-limiting resistor required?</t>
  </si>
  <si>
    <t>Because the diode's dynamic resistance in forward conduction is very low; without a series resistor to set an operating current, a small increase in applied voltage would produce a runaway increase in current (thermal runaway / device destruction).</t>
  </si>
  <si>
    <t>Experimental Notes / Sources of Error</t>
  </si>
  <si>
    <t>Notes</t>
  </si>
  <si>
    <t>Ammeter reads diode current + voltmeter current (small, voltmeter R_in is large). Pot contact resistance / wiper noise at very low resistance settings. Reverse-bias current may be near or below the ammeter's resolution — note the smallest distinguishable current.</t>
  </si>
  <si>
    <t>Experiment 2 — 1L.6 Lamp I-V Characteristic</t>
  </si>
  <si>
    <t>Supplement override</t>
  </si>
  <si>
    <t>'Mystery box' procedure NOT performed. Actual experiment: I-V curve of the #47 incandescent lamp, spacing chosen from the live-updating graph (not fixed 0.1 V increments).</t>
  </si>
  <si>
    <t>Measure the I-V curve of a #47 lamp and its dynamic resistance vs. current; determine whether it obeys Ohm's law.</t>
  </si>
  <si>
    <t>Key formulas</t>
  </si>
  <si>
    <t>P = V*I.   Dynamic resistance: R_dyn ≈ ΔV/ΔI between nearby measured points (vs. static R = V/I, which is not constant for a non-Ohmic device).</t>
  </si>
  <si>
    <t>I-V shape</t>
  </si>
  <si>
    <t>Non-linear, concave I-V curve: current rises less than proportionally to voltage as voltage increases.</t>
  </si>
  <si>
    <t>Resistance vs. temperature</t>
  </si>
  <si>
    <t>Filament heats with increasing current → resistance increases with current.</t>
  </si>
  <si>
    <t>Dynamic resistance</t>
  </si>
  <si>
    <t>R_dyn = ΔV/ΔI should increase with current (steeper local slope at higher current).</t>
  </si>
  <si>
    <t>Ohm's law</t>
  </si>
  <si>
    <t>Expected NOT to be satisfied (resistance is not constant).</t>
  </si>
  <si>
    <t>Power supply connected directly across the lamp (no series limiting resistor specified). Ammeter in series with the lamp. Voltmeter across the lamp directly (not the supply's front-panel terminals). Lamp seats in its socket by pushing down on the pin.</t>
  </si>
  <si>
    <t>⚠ #47 LAMP LIMITS: V ≤ 6.3 V, I ≤ 0.15 A, P ≤ 0.945 W — stay a bit below all three at every point.</t>
  </si>
  <si>
    <t>Measured Data</t>
  </si>
  <si>
    <t>V_lamp (V)</t>
  </si>
  <si>
    <t>I_lamp (A)</t>
  </si>
  <si>
    <t>P_lamp (W)</t>
  </si>
  <si>
    <t>Any point over rated limits?</t>
  </si>
  <si>
    <t>Dynamic Resistance (sorted by increasing current)</t>
  </si>
  <si>
    <t>Data below is the same measured pairs, re-sorted by current, with R_dyn = ΔV/ΔI computed between each consecutive pair (matching the notebook's dynamic-resistance cell).</t>
  </si>
  <si>
    <t>I_mid (A)</t>
  </si>
  <si>
    <t>R_dynamic (ohm)</t>
  </si>
  <si>
    <t>I-V and Dynamic-Resistance Analysis</t>
  </si>
  <si>
    <t>Sorted by increasing current, points trace a concave curve (V vs I bends upward as the filament heats) — consistent with the prediction.</t>
  </si>
  <si>
    <t>Dynamic resistance trend</t>
  </si>
  <si>
    <t>R_dyn rises from about 3.1 ohm at low current up to about 29.2 ohm at the highest current — consistent with tungsten's positive temperature coefficient of resistivity.</t>
  </si>
  <si>
    <t>What will happen if you turn the lamp voltage/current/power too high?</t>
  </si>
  <si>
    <t>The filament will exceed its rated dissipation and can fail (burn out) — stay a bit below all three #47 ratings (V≤6.3 V, I≤0.15 A, P≤0.945 W) at every measured point.</t>
  </si>
  <si>
    <t>Should you use the voltage on the front face of the power supply for your measured value? Why not?</t>
  </si>
  <si>
    <t>No — the front-panel reading includes the voltage drop across the leads, contacts, and the ammeter in series with the lamp, so it is not the voltage actually across the lamp. Use the dedicated voltmeter connected directly across the lamp itself.</t>
  </si>
  <si>
    <t>How should dynamic resistance depend on current?</t>
  </si>
  <si>
    <t>It should increase with current, since the filament's temperature (and hence resistivity) rises with current/power dissipation.</t>
  </si>
  <si>
    <t>Does this device satisfy Ohm's law? Why or why not?</t>
  </si>
  <si>
    <t>No — Ohm's law requires V/I (equivalently dV/dI) to be constant/independent of current. The lamp's dynamic resistance changes with current (see table above), so R is not constant and the device is non-Ohmic.</t>
  </si>
  <si>
    <t>Filament thermal time constant — allow the reading to stabilize before recording. Front-panel-vs-lamp voltage distinction (see Question above) — always read the lamp voltmeter, not the supply dial.</t>
  </si>
  <si>
    <t>Experiment 3 — 1L.7 Oscilloscope &amp; Function Generator (Output Impedance)</t>
  </si>
  <si>
    <t>Only the function-generator output-impedance measurement is performed (Keysight DSOX1103G). The handwritten notes' square-wave risetime measurement is background/pre-lab only — NOT performed.</t>
  </si>
  <si>
    <t>Get comfortable with the DSOX1103G's controls, then measure the function generator's output impedance R_out using a Thevenin-source model.</t>
  </si>
  <si>
    <t>V_load = V_oc * R_load/(R_out+R_load).   Solved for R_out:  R_out = R_load*(V_oc/V_load - 1).</t>
  </si>
  <si>
    <t>Practice signal</t>
  </si>
  <si>
    <t>Sine wave, amplitude 0.6 V, frequency 1500 Hz, via BNC cable — used to practice volts/div, time/div, trigger, waveform, frequency/amplitude controls.</t>
  </si>
  <si>
    <t>⚠ COMMON-GROUND WARNING: the scope's ground and the function generator's ground are tied together through the building grounding system — both ground leads must land on the SAME circuit node, or you will short part of your circuit through the building ground.</t>
  </si>
  <si>
    <t>Troubleshooting note</t>
  </si>
  <si>
    <t>If the oscilloscope voltage reads roughly 10x too large, check/reset the channel's probe attenuation setting.</t>
  </si>
  <si>
    <t>Function-generator output → R_load (resistance box) → back to function-generator ground/common. Oscilloscope probe across R_load reads V_load. Common ground at the low side of R_load. First measurement: open-circuit amplitude V_oc (R_load disconnected). Then step R_load through a range and record V_load at each.</t>
  </si>
  <si>
    <t>V_open_circuit (V)</t>
  </si>
  <si>
    <t>R_load (ohm)</t>
  </si>
  <si>
    <t>V_load (V)</t>
  </si>
  <si>
    <t>R_out estimate (ohm)</t>
  </si>
  <si>
    <t>Mean R_out estimate (ohm)</t>
  </si>
  <si>
    <t>Std dev of R_out estimates (ohm)</t>
  </si>
  <si>
    <t>⚠ The R_out estimates from the large-R_load points (top 3 rows) are extremely sensitive to small V_load measurement errors and swing from ~1.3 kΩ up to ~77 kΩ — far less reliable than the small-R_load points (bottom 2 rows), which agree with each other around 50–60 Ω. Consider reporting R_out ≈ 50–60 Ω based on the low-R_load points rather than the full-set mean/stdev, which is dominated by the noisy large-R_load estimates.</t>
  </si>
  <si>
    <t>Output-Impedance Analysis</t>
  </si>
  <si>
    <t>Analysis</t>
  </si>
  <si>
    <t>Individual R_out estimates (one per loaded point) plus mean/std above; the divider is most sensitive to R_out when R_load is comparable in size to R_out (matches the low-R_load points' tighter agreement).</t>
  </si>
  <si>
    <t>Why should a relatively low-frequency signal be used for the output-impedance measurement?</t>
  </si>
  <si>
    <t>At higher frequencies, cable capacitance, probe input capacitance, and any reactive component of the source's own output impedance become significant, so the simple resistive-divider model stops accurately describing the circuit. A low frequency keeps these reactive effects negligible so the extracted R_out reflects the purely resistive output impedance.</t>
  </si>
  <si>
    <t>How can R_out be extracted from the data?</t>
  </si>
  <si>
    <t>By loading the source with a series of known R_load values, measuring the resulting V_load at each, and either solving R_out = R_load*(V_oc/V_load - 1) point-by-point or fitting the full data set to the voltage-divider model.</t>
  </si>
  <si>
    <t>Why should you NEVER short the function-generator output?</t>
  </si>
  <si>
    <t>Shorting the output (R_load=0) forces the entire open-circuit voltage across only R_out, driving the maximum possible current from the source — this can exceed the generator's internal current limits and damage the output stage.</t>
  </si>
  <si>
    <t>What does SYNC OUT / TTL mean conceptually?</t>
  </si>
  <si>
    <t>SYNC OUT / TTL provides a separate digital timing/logic-level output (TTL = transistor-transistor logic) synchronized to the main analog waveform — useful for triggering other equipment in sync with the generated waveform, independent of the analog output's amplitude/shape.</t>
  </si>
  <si>
    <t>What does the oscilloscope CAL output provide conceptually?</t>
  </si>
  <si>
    <t>A known, fixed reference signal (typically a square wave of stated amplitude/frequency) at a dedicated terminal, intended for verifying/calibrating probe compensation and confirming the scope's vertical and horizontal scales are reading correctly.</t>
  </si>
  <si>
    <t>Probe attenuation setting (10x troubleshooting note above) — verify before trusting any reading. Common-ground violation would corrupt every reading in this section. Resistance-box tolerance/contact resistance at low R_load.</t>
  </si>
  <si>
    <t>Experiment 4 — 2L.1.1 RC Time Constant</t>
  </si>
  <si>
    <t>Measure the time constant ONLY — do not 'deduce R and C' or beyond. Use fixed discrete components: R = 5000 ohm, C = 1 nF (not the resistor/capacitor box).</t>
  </si>
  <si>
    <t>Measure the RC time constant tau of a known R, C pair from a square-wave charge/discharge and compare to the predicted value.</t>
  </si>
  <si>
    <t>tau = R*C.   Discharge: V(t) = V0*exp(-t/tau), at t=tau: V/V0 = e^-1 ≈ 0.368 (37%). Charging: V(t) = Vf*(1-exp(-t/tau)), at t=tau: V/Vf = 1-e^-1 ≈ 0.632 (63%). Both describe the same tau, so charging and discharging measurements on the same circuit should agree.</t>
  </si>
  <si>
    <t>Function generator (square wave, 0V→positive) → 5000 ohm discrete resistor in series with 1 nF discrete capacitor → back to function-generator ground. Oscilloscope probe across the capacitor. Common ground at the same node as Exp. 3. DC coupling required (needed for the absolute 0%/37%/63% reference levels). Square-wave period must be long enough, relative to tau, for the capacitor to fully charge/discharge each half-cycle.</t>
  </si>
  <si>
    <t>Component Values</t>
  </si>
  <si>
    <t>R_nominal (ohm)</t>
  </si>
  <si>
    <t>C_nominal (F)</t>
  </si>
  <si>
    <t>R_true (ohm, measured)</t>
  </si>
  <si>
    <t>C_true (F, measured)</t>
  </si>
  <si>
    <t>V_in (V, pk-pk)</t>
  </si>
  <si>
    <t>⚠ R_true and C_true were entered in the notebook but never actually used in the tau prediction (only the nominal values were). Both predictions are computed below for comparison — confirm which one you want to report as 'predicted tau'.</t>
  </si>
  <si>
    <t>tau predicted (nominal R, C)</t>
  </si>
  <si>
    <t>tau predicted (true/measured R, C)</t>
  </si>
  <si>
    <t>tau_discharge_measured (s)</t>
  </si>
  <si>
    <t>tau_charge_measured (s)</t>
  </si>
  <si>
    <t>Comparison to Prediction</t>
  </si>
  <si>
    <t>Method</t>
  </si>
  <si>
    <t>tau_measured (s)</t>
  </si>
  <si>
    <t>tau_predicted (nominal, s)</t>
  </si>
  <si>
    <t>% difference</t>
  </si>
  <si>
    <t>Discharge (37%)</t>
  </si>
  <si>
    <t>Charge (63%)</t>
  </si>
  <si>
    <t>Time-Constant Analysis</t>
  </si>
  <si>
    <t>Why does 37% identify one time constant during discharge?</t>
  </si>
  <si>
    <t>Because V(t)/V0 = exp(-t/tau), and at t=tau this ratio is e^-1 ≈ 0.368, i.e. 37%.</t>
  </si>
  <si>
    <t>Why does 63% identify one time constant during charging?</t>
  </si>
  <si>
    <t>Because V(t)/Vf = 1-exp(-t/tau), and at t=tau this is 1-e^-1 ≈ 0.632, i.e. 63%.</t>
  </si>
  <si>
    <t>Should charging and discharging produce the same tau?</t>
  </si>
  <si>
    <t>Yes — both describe the same RC circuit's exponential response, so within measurement uncertainty they should agree.</t>
  </si>
  <si>
    <t>What experimental effects could cause disagreement between charge and discharge tau?</t>
  </si>
  <si>
    <t>Square-wave period too short compared with tau (waveform doesn't fully settle before the next transition), scope timing/cursor placement error, probe/cable capacitance adding to the nominal 1 nF, or component tolerance on the discrete R/C.</t>
  </si>
  <si>
    <t>Why must the square-wave period be sufficiently long compared with RC?</t>
  </si>
  <si>
    <t>If the period is comparable to or shorter than tau, the capacitor never reaches its asymptotic charged/discharged level before the next transition, so the waveform never actually passes through the true 37%/63% points relative to its nominal V0/Vf — the method silently becomes inaccurate.</t>
  </si>
  <si>
    <t>Probe/cable capacitance can add to the nominal 1 nF and slightly increase the effective tau. Cursor placement precision on the scope.</t>
  </si>
  <si>
    <t>⚠ [ENTER SPEC IF REQUIRED] component tolerance on discrete R, C — not given in uploaded materials. [ENTER ADDITIONAL NOTES DURING LAB] also left blank.</t>
  </si>
  <si>
    <t>Experiment 5 — Wheatstone Bridge</t>
  </si>
  <si>
    <t>Build a Wheatstone bridge, balance it to find an unknown thermistor resistance Rx, then observe how Rx changes when the thermistor is warmed.</t>
  </si>
  <si>
    <t>Topology</t>
  </si>
  <si>
    <t>R1 connects D-A, R3 connects A-B (top pair, sharing node A). R2 connects D-C, Rx connects C-B (bottom pair, sharing node C). Supply Vs applied across A-C. Voltmeter VG reads across D-B. Sign convention: VG = V_D - V_B.</t>
  </si>
  <si>
    <t>Balance condition (VG=0): R2*R3 = Rx*R1  =&gt;  Rx = R2*R3/R1.
General (off-balance) expression: let K = R2/(R1+R2) - VG/Vs, then Rx = K*R3/(1-K).</t>
  </si>
  <si>
    <t>Supply: power supply's fixed 5 V output, Vs=5.0 V, across nodes A-C. R1, R3: each a nominal 1 kΩ resistor (D-A and A-B) — measure each with the multimeter BEFORE wiring into the circuit. R2: variable resistance box, D-C, initially ≈ 1 kΩ. Rx: thermistor, C-B, nominally ≈ 10 kΩ. VG: voltmeter across D-B.</t>
  </si>
  <si>
    <t>Condition</t>
  </si>
  <si>
    <t>Vs (V)</t>
  </si>
  <si>
    <t>R1 (ohm)</t>
  </si>
  <si>
    <t>R2 (ohm)</t>
  </si>
  <si>
    <t>R3 (ohm)</t>
  </si>
  <si>
    <t>VG (V)</t>
  </si>
  <si>
    <t>Room-temp / initial</t>
  </si>
  <si>
    <t>Thermistor warmed</t>
  </si>
  <si>
    <t>Rx directly measured (ohmmeter, room temp, ohm)</t>
  </si>
  <si>
    <t>Rx Calculation (general off-balance formula)</t>
  </si>
  <si>
    <t>K = R2/(R1+R2) - VG/Vs</t>
  </si>
  <si>
    <t>Rx = K*R3/(1-K)  (ohm)</t>
  </si>
  <si>
    <t>⚠ Stray/unused variable found in the raw notebook: 'Rx_heat = -0.015' (commented 'volts'). It is never used in any calculation and its name doesn't match its value — looks like leftover/mislabeled code, not a real result. Flagged here in case you meant to use it for something.</t>
  </si>
  <si>
    <t>Calculation of Rx / Thermistor Heating</t>
  </si>
  <si>
    <t>Compare the calculated Rx values above: warmed vs. room-temperature. Using the directly-measured Rx (10.45 kΩ) at room temperature vs. the warmed-condition bridge calculation (≈ 1.7 kΩ) suggests a large decrease in resistance when warmed — consistent with NTC (negative temperature coefficient) behavior, though the room-temperature bridge reading itself is flagged above as unreliable, so treat this comparison as provisional until the R2_a issue is resolved.</t>
  </si>
  <si>
    <t>Why should a resistor not be measured with an ohmmeter while still connected in an energized/full circuit?</t>
  </si>
  <si>
    <t>Because the ohmmeter would then be reading the resistance of that resistor in parallel/series combination with the rest of the connected circuit (and, if energized, external voltage would corrupt the ohmmeter's own internal current-source measurement) — not the resistor's true isolated value. It must be disconnected (and unpowered) to get an accurate reading.</t>
  </si>
  <si>
    <t>What is the Wheatstone bridge balance condition?</t>
  </si>
  <si>
    <t>R2*R3 = Rx*R1 (equivalently R2/R1 = Rx/R3), derived from the two voltage-divider legs.</t>
  </si>
  <si>
    <t>Why is VG approximately zero at balance?</t>
  </si>
  <si>
    <t>At balance, nodes D and B sit at the same potential (the two divider ratios are equal), so no current flows between them regardless of the voltmeter's own resistance — VG → 0.</t>
  </si>
  <si>
    <t>How can Rx be calculated?</t>
  </si>
  <si>
    <t>At exact balance: Rx = R2*R3/R1. Off balance: use the general expression, Rx = K*R3/(1-K) with K = R2/(R1+R2) - VG/Vs.</t>
  </si>
  <si>
    <t>What should happen to the thermistor measurement when warmed?</t>
  </si>
  <si>
    <t>R1, R3 tolerance directly propagates into Rx. Bridge self-heating of the thermistor from its own current, separate from deliberate finger-warming.</t>
  </si>
  <si>
    <t>Background / Handwritten Lab Notes — Pre-Lab Answers</t>
  </si>
  <si>
    <t>Scope</t>
  </si>
  <si>
    <t>Diode, RC 'deduce R,C', and scope-CAL/SYNC-OUT questions from the handwritten notes are answered in their respective experiment tabs (Exp1, Exp4, Exp3) and are not repeated here. The questions below concern the 1L.6 mystery-box / DVM-and-ammeter-placement material, which is superseded by the supplement's lamp-only procedure — background/pre-lab only, not performed as a separate measurement.</t>
  </si>
  <si>
    <t>Meter-placement question</t>
  </si>
  <si>
    <t>Is the voltmeter measuring the voltage at the place you want (across the object under test)? Or does the voltage reading include the effect of the ammeter? Does that matter? If measuring the object's voltage precisely, are you reading its current, or the current in the object plus the current through the voltmeter? If you can't have it both ways, which setup gives the smallest error?</t>
  </si>
  <si>
    <t>Neither wiring option is error-free: placing the voltmeter directly across the DUT gives an exact voltage but a current reading inflated by the voltmeter's own current draw; placing the ammeter directly at the source gives an exact current but a voltage reading inflated by the ammeter's small voltage drop. Whether this matters, and which option is better, depends on how the DUT's resistance compares with the meters' internal resistances: a low-resistance DUT is better served by 'ammeter near the source' (voltmeter's tiny leakage current is negligible next to a large DUT current); a high-resistance DUT is better served by 'voltmeter directly across the DUT' (ammeter's tiny voltage drop is negligible next to a large DUT voltage). Two textbook options (page 34): Option 1 — DVM before the VOM (DVM parallel with the load, VOM in series between DVM and load); Option 2 — VOM first, then DVM and load in parallel after the VOM. Whichever configuration keeps the effective measured resistance closest to the DUT's own value (minimizes the relative loading effect) gives the more accurate reading.</t>
  </si>
  <si>
    <t>1L.6.2 — DVM loading at large R_load (prediction)</t>
  </si>
  <si>
    <t>Assumption</t>
  </si>
  <si>
    <t>R_load = 10 MΩ, DVM R_in = 10 MΩ</t>
  </si>
  <si>
    <t>R_in DVM (ohm)</t>
  </si>
  <si>
    <t>R_load || R_in (ohm)</t>
  </si>
  <si>
    <t>Current error introduced (%)</t>
  </si>
  <si>
    <t>Discuss the conceptual result of the above calculation.</t>
  </si>
  <si>
    <t>With R_load = R_in = 10 MΩ, placing the DVM directly at the load puts it in parallel with the load, halving the effective resistance the ammeter sees (to 5 MΩ) and roughly doubling the current the ammeter reports relative to the current actually flowing through the load alone (≈100% error). By contrast, reading the voltage upstream of the ammeter (the configuration actually used in the lab's 1 kΩ-scale experiment) introduces only the small voltage error from the ammeter's own comparatively tiny internal resistance, which is negligible next to a load this large. Conclusion: for a DUT resistance comparable to or larger than the DVM's own input resistance, the DVM's loading current becomes the dominant error, and you should worry specifically about R_in whenever R_load is roughly R_in/10 or larger — for small R_load (like the 1 kΩ case actually measured), this concern is negligible.</t>
  </si>
  <si>
    <t>Supplement questions — cross-reference</t>
  </si>
  <si>
    <t>Cross-reference</t>
  </si>
  <si>
    <t>Every explicit question/instruction requiring reasoning in the supplement is answered either here or, where it belongs more naturally, on that experiment's tab:
1L.5 (Diode) usable-range question -&gt; Exp1 Diode tab.
1L.6 (Lamp) voltage/dependence/Ohm's-law questions -&gt; Exp2 Lamp tab.
1L.7 (Func. gen.) 'why never short the output' -&gt; Exp3 FuncGen Zout tab.
Wheatstone bridge questions (disconnect-to-measure, balance, Rx, warming) -&gt; Exp5 Bridge tab.</t>
  </si>
  <si>
    <t>PHYS485— Lab 2 Pre-Lab &amp; Laboratory Notebook</t>
  </si>
  <si>
    <t>Hand-check of R_out ("half method"), R_load = 90 ohm: Using the divider relation V = RL/(Ro+RL) * V0, solving for Ro gives Ro = RL*(V0-V)/V. A first hand calculation used a rounded V0 = 6 V, giving Ro = 90*(6-3.85)/3.85 = 50.25 ohm. Re-doing it with the actual measured open-circuit voltage V0 = 6.4 V gives Ro = 90*(6.4-3.85)/3.85 ≈ 59.61 ohm, matching the spreadsheet's row-5 estimate. The 50.25 ohm figure was a rounding slip in V0, not a separate measurement or error source.</t>
  </si>
  <si>
    <t>Time constant measured: tau ≈ 4.2 μs (discharge and charge agree), instructor-approved at the bench. Differs from the nominal-component prediction (5.00 μs) by about -16%, but matches the true/measured-component prediction (4.19 μs) to within about 0.15% — the gap from the nominal prediction is attributable to component tolerance (R, C differ slightly from their nominal labels), as discussed with the instructor.</t>
  </si>
  <si>
    <t>Comparison table below is now computed automatically from the measured values entered above.</t>
  </si>
  <si>
    <t>% diff vs true-component tau</t>
  </si>
  <si>
    <t>Measured tau (discharge and charge) ≈ 4.2 μs, in good agreement with each other. This is about 16% below the nominal-component prediction (5.00 μs, R=5000Ω, C=1nF), but matches the true/measured-component prediction (4.19 μs, R_true=5065Ω, C_true=0.828nF) to within about 0.15%. Instructor-approved conclusion: the discrepancy from the nominal prediction is due to component tolerance — the actual R and C differ slightly from their nominal labeled values, and the true-component prediction is the more accurate theoretical comparison.</t>
  </si>
  <si>
    <t>When the  thermistor is warmed, its electrical resistance decreases because the thermal energy excites charge carriers into the conduction band, allowing current to flow more easily.</t>
  </si>
  <si>
    <t>See attached documents on submission</t>
  </si>
  <si>
    <t>Pardon me, I forgot to caputre a photo of the circuit in 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</si>
</sst>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4"/>
      <name val="Cambria"/>
      <charset val="1"/>
    </font>
    <font>
      <b/>
      <sz val="11"/>
      <name val="Cambria"/>
      <charset val="1"/>
    </font>
    <font>
      <b/>
      <sz val="12"/>
      <name val="Cambria"/>
      <charset val="1"/>
    </font>
    <font>
      <b/>
      <sz val="11"/>
      <color rgb="FFCC0000"/>
      <name val="Cambria"/>
      <charset val="1"/>
    </font>
    <font>
      <b/>
      <sz val="14"/>
      <name val="Cambria"/>
      <family val="1"/>
    </font>
    <font>
      <sz val="11"/>
      <color rgb="FF000000"/>
      <name val="Cambria"/>
      <family val="1"/>
    </font>
    <font>
      <b/>
      <sz val="11"/>
      <name val="Cambria"/>
      <family val="1"/>
    </font>
    <font>
      <b/>
      <sz val="12"/>
      <name val="Cambria"/>
      <family val="1"/>
    </font>
    <font>
      <b/>
      <sz val="11"/>
      <color rgb="FFCC0000"/>
      <name val="Cambria"/>
      <family val="1"/>
    </font>
    <font>
      <sz val="11"/>
      <color theme="1"/>
      <name val="Cambria"/>
      <family val="1"/>
    </font>
    <font>
      <b/>
      <sz val="20"/>
      <color theme="1"/>
      <name val="Calibri"/>
      <family val="2"/>
    </font>
    <font>
      <sz val="11"/>
      <color theme="0"/>
      <name val="Calibri"/>
      <family val="2"/>
      <charset val="1"/>
    </font>
  </fonts>
  <fills count="6">
    <fill>
      <patternFill patternType="none"/>
    </fill>
    <fill>
      <patternFill patternType="gray125"/>
    </fill>
    <fill>
      <patternFill patternType="solid">
        <fgColor rgb="FFD9D9D9"/>
        <bgColor rgb="FFBFBFBF"/>
      </patternFill>
    </fill>
    <fill>
      <patternFill patternType="solid">
        <fgColor rgb="FFFFC000"/>
        <bgColor rgb="FFFF9900"/>
      </patternFill>
    </fill>
    <fill>
      <patternFill patternType="solid">
        <fgColor rgb="FFFFFF00"/>
        <bgColor rgb="FFFFFF00"/>
      </patternFill>
    </fill>
    <fill>
      <patternFill patternType="solid">
        <fgColor theme="0"/>
        <bgColor rgb="FFFF99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1" fillId="0" borderId="0" xfId="0" applyFont="1"/>
    <xf numFmtId="0" fontId="2" fillId="0" borderId="1" xfId="0" applyFont="1" applyBorder="1" applyAlignment="1">
      <alignment vertical="top" wrapText="1"/>
    </xf>
    <xf numFmtId="0" fontId="3" fillId="2" borderId="0" xfId="0" applyFont="1" applyFill="1"/>
    <xf numFmtId="0" fontId="0" fillId="2" borderId="0" xfId="0" applyFill="1"/>
    <xf numFmtId="0" fontId="2" fillId="2" borderId="1" xfId="0" applyFont="1" applyFill="1" applyBorder="1"/>
    <xf numFmtId="0" fontId="0" fillId="0" borderId="1" xfId="0" applyBorder="1"/>
    <xf numFmtId="0" fontId="0" fillId="4" borderId="1" xfId="0" applyFill="1" applyBorder="1"/>
    <xf numFmtId="0" fontId="0" fillId="3" borderId="0" xfId="0" applyFill="1"/>
    <xf numFmtId="0" fontId="2" fillId="2" borderId="0" xfId="0" applyFont="1" applyFill="1"/>
    <xf numFmtId="0" fontId="0" fillId="3" borderId="1" xfId="0" applyFill="1" applyBorder="1"/>
    <xf numFmtId="0" fontId="4" fillId="3" borderId="1" xfId="0" applyFont="1" applyFill="1" applyBorder="1"/>
    <xf numFmtId="0" fontId="5" fillId="0" borderId="0" xfId="0" applyFont="1"/>
    <xf numFmtId="0" fontId="7" fillId="0" borderId="1" xfId="0" applyFont="1" applyBorder="1" applyAlignment="1">
      <alignment vertical="top" wrapText="1"/>
    </xf>
    <xf numFmtId="0" fontId="8" fillId="2" borderId="0" xfId="0" applyFont="1" applyFill="1"/>
    <xf numFmtId="0" fontId="7" fillId="2" borderId="1" xfId="0" applyFont="1" applyFill="1" applyBorder="1"/>
    <xf numFmtId="0" fontId="7" fillId="2" borderId="0" xfId="0" applyFont="1" applyFill="1"/>
    <xf numFmtId="0" fontId="0" fillId="0" borderId="1" xfId="0" applyBorder="1" applyAlignment="1">
      <alignment vertical="top" wrapText="1"/>
    </xf>
    <xf numFmtId="0" fontId="4" fillId="3" borderId="0" xfId="0" applyFont="1" applyFill="1" applyAlignment="1">
      <alignment vertical="top" wrapText="1"/>
    </xf>
    <xf numFmtId="0" fontId="4" fillId="3" borderId="1" xfId="0" applyFont="1" applyFill="1" applyBorder="1" applyAlignment="1">
      <alignment vertical="top" wrapText="1"/>
    </xf>
    <xf numFmtId="0" fontId="0" fillId="4" borderId="1" xfId="0" applyFill="1" applyBorder="1" applyAlignment="1">
      <alignment vertical="top" wrapText="1"/>
    </xf>
    <xf numFmtId="0" fontId="0" fillId="0" borderId="0" xfId="0" applyAlignment="1">
      <alignment horizontal="left" vertical="top" wrapText="1"/>
    </xf>
    <xf numFmtId="0" fontId="9" fillId="3" borderId="0" xfId="0" applyFont="1" applyFill="1" applyAlignment="1">
      <alignment vertical="top" wrapText="1"/>
    </xf>
    <xf numFmtId="0" fontId="6" fillId="4" borderId="1" xfId="0" applyFont="1" applyFill="1" applyBorder="1" applyAlignment="1">
      <alignment vertical="top" wrapText="1"/>
    </xf>
    <xf numFmtId="0" fontId="6" fillId="0" borderId="0" xfId="0" applyFont="1" applyAlignment="1">
      <alignment vertical="top" wrapText="1"/>
    </xf>
    <xf numFmtId="0" fontId="10" fillId="5" borderId="1" xfId="0" applyFont="1" applyFill="1" applyBorder="1" applyAlignment="1">
      <alignment vertical="top" wrapText="1"/>
    </xf>
    <xf numFmtId="0" fontId="11" fillId="0" borderId="0" xfId="0" applyFont="1" applyAlignment="1">
      <alignment horizontal="center" vertical="center"/>
    </xf>
    <xf numFmtId="0" fontId="1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520700</xdr:colOff>
      <xdr:row>19</xdr:row>
      <xdr:rowOff>12700</xdr:rowOff>
    </xdr:from>
    <xdr:to>
      <xdr:col>15</xdr:col>
      <xdr:colOff>558800</xdr:colOff>
      <xdr:row>36</xdr:row>
      <xdr:rowOff>76200</xdr:rowOff>
    </xdr:to>
    <xdr:pic>
      <xdr:nvPicPr>
        <xdr:cNvPr id="2" name="Picture 1">
          <a:extLst>
            <a:ext uri="{FF2B5EF4-FFF2-40B4-BE49-F238E27FC236}">
              <a16:creationId xmlns:a16="http://schemas.microsoft.com/office/drawing/2014/main" id="{17BD4A22-78A2-5D83-6FEC-7030879D24B2}"/>
            </a:ext>
          </a:extLst>
        </xdr:cNvPr>
        <xdr:cNvPicPr>
          <a:picLocks noChangeAspect="1"/>
        </xdr:cNvPicPr>
      </xdr:nvPicPr>
      <xdr:blipFill>
        <a:blip xmlns:r="http://schemas.openxmlformats.org/officeDocument/2006/relationships" r:embed="rId1"/>
        <a:stretch>
          <a:fillRect/>
        </a:stretch>
      </xdr:blipFill>
      <xdr:spPr>
        <a:xfrm>
          <a:off x="5245100" y="5816600"/>
          <a:ext cx="9690100" cy="3467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210690</xdr:colOff>
      <xdr:row>19</xdr:row>
      <xdr:rowOff>81443</xdr:rowOff>
    </xdr:from>
    <xdr:to>
      <xdr:col>17</xdr:col>
      <xdr:colOff>117882</xdr:colOff>
      <xdr:row>36</xdr:row>
      <xdr:rowOff>25400</xdr:rowOff>
    </xdr:to>
    <xdr:pic>
      <xdr:nvPicPr>
        <xdr:cNvPr id="2" name="Picture 1">
          <a:extLst>
            <a:ext uri="{FF2B5EF4-FFF2-40B4-BE49-F238E27FC236}">
              <a16:creationId xmlns:a16="http://schemas.microsoft.com/office/drawing/2014/main" id="{684E6F39-19B1-8370-8569-74C62CC28219}"/>
            </a:ext>
          </a:extLst>
        </xdr:cNvPr>
        <xdr:cNvPicPr>
          <a:picLocks noChangeAspect="1"/>
        </xdr:cNvPicPr>
      </xdr:nvPicPr>
      <xdr:blipFill>
        <a:blip xmlns:r="http://schemas.openxmlformats.org/officeDocument/2006/relationships" r:embed="rId1"/>
        <a:stretch>
          <a:fillRect/>
        </a:stretch>
      </xdr:blipFill>
      <xdr:spPr>
        <a:xfrm>
          <a:off x="6459090" y="4958243"/>
          <a:ext cx="9355992" cy="3347557"/>
        </a:xfrm>
        <a:prstGeom prst="rect">
          <a:avLst/>
        </a:prstGeom>
      </xdr:spPr>
    </xdr:pic>
    <xdr:clientData/>
  </xdr:twoCellAnchor>
  <xdr:twoCellAnchor editAs="oneCell">
    <xdr:from>
      <xdr:col>5</xdr:col>
      <xdr:colOff>88900</xdr:colOff>
      <xdr:row>36</xdr:row>
      <xdr:rowOff>152399</xdr:rowOff>
    </xdr:from>
    <xdr:to>
      <xdr:col>15</xdr:col>
      <xdr:colOff>76200</xdr:colOff>
      <xdr:row>56</xdr:row>
      <xdr:rowOff>216760</xdr:rowOff>
    </xdr:to>
    <xdr:pic>
      <xdr:nvPicPr>
        <xdr:cNvPr id="3" name="Picture 2">
          <a:extLst>
            <a:ext uri="{FF2B5EF4-FFF2-40B4-BE49-F238E27FC236}">
              <a16:creationId xmlns:a16="http://schemas.microsoft.com/office/drawing/2014/main" id="{FD304EB8-502C-A7E4-1906-8E8A5CA5624C}"/>
            </a:ext>
          </a:extLst>
        </xdr:cNvPr>
        <xdr:cNvPicPr>
          <a:picLocks noChangeAspect="1"/>
        </xdr:cNvPicPr>
      </xdr:nvPicPr>
      <xdr:blipFill>
        <a:blip xmlns:r="http://schemas.openxmlformats.org/officeDocument/2006/relationships" r:embed="rId2"/>
        <a:stretch>
          <a:fillRect/>
        </a:stretch>
      </xdr:blipFill>
      <xdr:spPr>
        <a:xfrm>
          <a:off x="7861300" y="8432799"/>
          <a:ext cx="6591300" cy="43569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101600</xdr:colOff>
      <xdr:row>15</xdr:row>
      <xdr:rowOff>114299</xdr:rowOff>
    </xdr:from>
    <xdr:to>
      <xdr:col>14</xdr:col>
      <xdr:colOff>469900</xdr:colOff>
      <xdr:row>28</xdr:row>
      <xdr:rowOff>1009972</xdr:rowOff>
    </xdr:to>
    <xdr:pic>
      <xdr:nvPicPr>
        <xdr:cNvPr id="2" name="Picture 1">
          <a:extLst>
            <a:ext uri="{FF2B5EF4-FFF2-40B4-BE49-F238E27FC236}">
              <a16:creationId xmlns:a16="http://schemas.microsoft.com/office/drawing/2014/main" id="{AA1ED3FC-DE00-27F7-FD5A-F190976DA6DA}"/>
            </a:ext>
          </a:extLst>
        </xdr:cNvPr>
        <xdr:cNvPicPr>
          <a:picLocks noChangeAspect="1"/>
        </xdr:cNvPicPr>
      </xdr:nvPicPr>
      <xdr:blipFill>
        <a:blip xmlns:r="http://schemas.openxmlformats.org/officeDocument/2006/relationships" r:embed="rId1"/>
        <a:stretch>
          <a:fillRect/>
        </a:stretch>
      </xdr:blipFill>
      <xdr:spPr>
        <a:xfrm>
          <a:off x="7874000" y="5067299"/>
          <a:ext cx="6311900" cy="4172273"/>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zoomScaleNormal="100" workbookViewId="0">
      <pane ySplit="1" topLeftCell="A16" activePane="bottomLeft" state="frozen"/>
      <selection pane="bottomLeft" activeCell="D37" sqref="D37"/>
    </sheetView>
  </sheetViews>
  <sheetFormatPr baseColWidth="10" defaultColWidth="8.6640625" defaultRowHeight="15" x14ac:dyDescent="0.2"/>
  <cols>
    <col min="1" max="1" width="26" customWidth="1"/>
    <col min="2" max="5" width="22" customWidth="1"/>
  </cols>
  <sheetData>
    <row r="1" spans="1:5" ht="18" x14ac:dyDescent="0.2">
      <c r="A1" s="12" t="s">
        <v>235</v>
      </c>
    </row>
    <row r="3" spans="1:5" ht="18" customHeight="1" x14ac:dyDescent="0.2">
      <c r="A3" s="2" t="s">
        <v>0</v>
      </c>
      <c r="B3" s="17" t="s">
        <v>1</v>
      </c>
      <c r="C3" s="17"/>
      <c r="D3" s="17"/>
      <c r="E3" s="17"/>
    </row>
    <row r="4" spans="1:5" ht="18" customHeight="1" x14ac:dyDescent="0.2">
      <c r="A4" s="2" t="s">
        <v>2</v>
      </c>
      <c r="B4" s="17" t="s">
        <v>3</v>
      </c>
      <c r="C4" s="17"/>
      <c r="D4" s="17"/>
      <c r="E4" s="17"/>
    </row>
    <row r="5" spans="1:5" ht="27.75" customHeight="1" x14ac:dyDescent="0.2">
      <c r="A5" s="2" t="s">
        <v>4</v>
      </c>
      <c r="B5" s="17" t="s">
        <v>5</v>
      </c>
      <c r="C5" s="17"/>
      <c r="D5" s="17"/>
      <c r="E5" s="17"/>
    </row>
    <row r="6" spans="1:5" ht="18" customHeight="1" x14ac:dyDescent="0.2">
      <c r="A6" s="2" t="s">
        <v>6</v>
      </c>
      <c r="B6" s="17" t="s">
        <v>7</v>
      </c>
      <c r="C6" s="17"/>
      <c r="D6" s="17"/>
      <c r="E6" s="17"/>
    </row>
    <row r="9" spans="1:5" ht="16" x14ac:dyDescent="0.2">
      <c r="A9" s="3" t="s">
        <v>8</v>
      </c>
      <c r="B9" s="4"/>
      <c r="C9" s="4"/>
      <c r="D9" s="4"/>
      <c r="E9" s="4"/>
    </row>
    <row r="10" spans="1:5" ht="27.75" customHeight="1" x14ac:dyDescent="0.2"/>
    <row r="11" spans="1:5" x14ac:dyDescent="0.2">
      <c r="A11" s="2" t="s">
        <v>9</v>
      </c>
      <c r="B11" s="17" t="s">
        <v>10</v>
      </c>
      <c r="C11" s="17"/>
      <c r="D11" s="17"/>
      <c r="E11" s="17"/>
    </row>
    <row r="12" spans="1:5" ht="42" customHeight="1" x14ac:dyDescent="0.2"/>
    <row r="13" spans="1:5" ht="16" x14ac:dyDescent="0.2">
      <c r="A13" s="3" t="s">
        <v>11</v>
      </c>
      <c r="B13" s="4"/>
      <c r="C13" s="4"/>
      <c r="D13" s="4"/>
      <c r="E13" s="4"/>
    </row>
    <row r="14" spans="1:5" ht="84" customHeight="1" x14ac:dyDescent="0.2"/>
    <row r="15" spans="1:5" x14ac:dyDescent="0.2">
      <c r="A15" s="2" t="s">
        <v>12</v>
      </c>
      <c r="B15" s="17" t="s">
        <v>13</v>
      </c>
      <c r="C15" s="17"/>
      <c r="D15" s="17"/>
      <c r="E15" s="17"/>
    </row>
    <row r="16" spans="1:5" ht="42" customHeight="1" x14ac:dyDescent="0.2">
      <c r="A16" s="2" t="s">
        <v>14</v>
      </c>
      <c r="B16" s="17" t="s">
        <v>15</v>
      </c>
      <c r="C16" s="17"/>
      <c r="D16" s="17"/>
      <c r="E16" s="17"/>
    </row>
    <row r="17" spans="1:5" x14ac:dyDescent="0.2">
      <c r="A17" s="2" t="s">
        <v>16</v>
      </c>
      <c r="B17" s="17" t="s">
        <v>17</v>
      </c>
      <c r="C17" s="17"/>
      <c r="D17" s="17"/>
      <c r="E17" s="17"/>
    </row>
    <row r="18" spans="1:5" ht="42" customHeight="1" x14ac:dyDescent="0.2">
      <c r="A18" s="2" t="s">
        <v>18</v>
      </c>
      <c r="B18" s="17" t="s">
        <v>19</v>
      </c>
      <c r="C18" s="17"/>
      <c r="D18" s="17"/>
      <c r="E18" s="17"/>
    </row>
    <row r="19" spans="1:5" x14ac:dyDescent="0.2">
      <c r="A19" s="2" t="s">
        <v>20</v>
      </c>
      <c r="B19" s="17" t="s">
        <v>21</v>
      </c>
      <c r="C19" s="17"/>
      <c r="D19" s="17"/>
      <c r="E19" s="17"/>
    </row>
    <row r="20" spans="1:5" ht="27.75" customHeight="1" x14ac:dyDescent="0.2"/>
    <row r="21" spans="1:5" ht="16" x14ac:dyDescent="0.2">
      <c r="A21" s="3" t="s">
        <v>22</v>
      </c>
      <c r="B21" s="4"/>
      <c r="C21" s="4"/>
      <c r="D21" s="4"/>
      <c r="E21" s="4"/>
    </row>
    <row r="22" spans="1:5" ht="27.75" customHeight="1" x14ac:dyDescent="0.2"/>
    <row r="23" spans="1:5" ht="30" x14ac:dyDescent="0.2">
      <c r="A23" s="2" t="s">
        <v>23</v>
      </c>
      <c r="B23" s="17" t="s">
        <v>24</v>
      </c>
      <c r="C23" s="17"/>
      <c r="D23" s="17"/>
      <c r="E23" s="17"/>
    </row>
    <row r="24" spans="1:5" ht="42" customHeight="1" x14ac:dyDescent="0.2">
      <c r="A24" s="2" t="s">
        <v>25</v>
      </c>
      <c r="B24" s="17" t="s">
        <v>26</v>
      </c>
      <c r="C24" s="17"/>
      <c r="D24" s="17"/>
      <c r="E24" s="17"/>
    </row>
    <row r="25" spans="1:5" ht="30" x14ac:dyDescent="0.2">
      <c r="A25" s="2" t="s">
        <v>27</v>
      </c>
      <c r="B25" s="17" t="s">
        <v>28</v>
      </c>
      <c r="C25" s="17"/>
      <c r="D25" s="17"/>
      <c r="E25" s="17"/>
    </row>
    <row r="26" spans="1:5" ht="55.5" customHeight="1" x14ac:dyDescent="0.2">
      <c r="A26" s="2" t="s">
        <v>29</v>
      </c>
      <c r="B26" s="17" t="s">
        <v>30</v>
      </c>
      <c r="C26" s="17"/>
      <c r="D26" s="17"/>
      <c r="E26" s="17"/>
    </row>
    <row r="27" spans="1:5" ht="30" x14ac:dyDescent="0.2">
      <c r="A27" s="2" t="s">
        <v>31</v>
      </c>
      <c r="B27" s="17" t="s">
        <v>32</v>
      </c>
      <c r="C27" s="17"/>
      <c r="D27" s="17"/>
      <c r="E27" s="17"/>
    </row>
    <row r="28" spans="1:5" x14ac:dyDescent="0.2">
      <c r="A28" s="2" t="s">
        <v>33</v>
      </c>
      <c r="B28" s="17" t="s">
        <v>34</v>
      </c>
      <c r="C28" s="17"/>
      <c r="D28" s="17"/>
      <c r="E28" s="17"/>
    </row>
    <row r="30" spans="1:5" ht="27.75" customHeight="1" x14ac:dyDescent="0.2">
      <c r="A30" s="3" t="s">
        <v>35</v>
      </c>
      <c r="B30" s="4"/>
      <c r="C30" s="4"/>
      <c r="D30" s="4"/>
      <c r="E30" s="4"/>
    </row>
    <row r="32" spans="1:5" x14ac:dyDescent="0.2">
      <c r="A32" s="2" t="s">
        <v>36</v>
      </c>
      <c r="B32" s="17" t="s">
        <v>37</v>
      </c>
      <c r="C32" s="17"/>
      <c r="D32" s="17"/>
      <c r="E32" s="17"/>
    </row>
    <row r="34" ht="18" customHeight="1" x14ac:dyDescent="0.2"/>
    <row r="35" ht="55.5" customHeight="1" x14ac:dyDescent="0.2"/>
    <row r="36" ht="18" customHeight="1" x14ac:dyDescent="0.2"/>
    <row r="37" ht="27.75" customHeight="1" x14ac:dyDescent="0.2"/>
    <row r="38" ht="27.75" customHeight="1" x14ac:dyDescent="0.2"/>
    <row r="42" ht="18" customHeight="1" x14ac:dyDescent="0.2"/>
    <row r="43" ht="18" customHeight="1" x14ac:dyDescent="0.2"/>
    <row r="44" ht="18" customHeight="1" x14ac:dyDescent="0.2"/>
    <row r="45" ht="18" customHeight="1" x14ac:dyDescent="0.2"/>
    <row r="46" ht="18" customHeight="1" x14ac:dyDescent="0.2"/>
    <row r="47" ht="18" customHeight="1" x14ac:dyDescent="0.2"/>
    <row r="51" ht="97.5" customHeight="1" x14ac:dyDescent="0.2"/>
  </sheetData>
  <mergeCells count="17">
    <mergeCell ref="B11:E11"/>
    <mergeCell ref="B15:E15"/>
    <mergeCell ref="B3:E3"/>
    <mergeCell ref="B4:E4"/>
    <mergeCell ref="B5:E5"/>
    <mergeCell ref="B6:E6"/>
    <mergeCell ref="B16:E16"/>
    <mergeCell ref="B17:E17"/>
    <mergeCell ref="B18:E18"/>
    <mergeCell ref="B19:E19"/>
    <mergeCell ref="B23:E23"/>
    <mergeCell ref="B32:E32"/>
    <mergeCell ref="B24:E24"/>
    <mergeCell ref="B25:E25"/>
    <mergeCell ref="B26:E26"/>
    <mergeCell ref="B27:E27"/>
    <mergeCell ref="B28:E2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4"/>
  <sheetViews>
    <sheetView topLeftCell="A13" zoomScaleNormal="100" workbookViewId="0">
      <selection activeCell="L40" sqref="L40"/>
    </sheetView>
  </sheetViews>
  <sheetFormatPr baseColWidth="10" defaultColWidth="8.6640625" defaultRowHeight="15" x14ac:dyDescent="0.2"/>
  <cols>
    <col min="1" max="1" width="22" customWidth="1"/>
    <col min="2" max="5" width="20" customWidth="1"/>
  </cols>
  <sheetData>
    <row r="1" spans="1:5" ht="18" x14ac:dyDescent="0.2">
      <c r="A1" s="1" t="s">
        <v>38</v>
      </c>
    </row>
    <row r="3" spans="1:5" ht="27.75" customHeight="1" x14ac:dyDescent="0.2">
      <c r="A3" s="2" t="s">
        <v>39</v>
      </c>
      <c r="B3" s="17" t="s">
        <v>40</v>
      </c>
      <c r="C3" s="17"/>
      <c r="D3" s="17"/>
      <c r="E3" s="17"/>
    </row>
    <row r="4" spans="1:5" ht="34" customHeight="1" x14ac:dyDescent="0.2">
      <c r="A4" s="2" t="s">
        <v>41</v>
      </c>
      <c r="B4" s="17" t="s">
        <v>42</v>
      </c>
      <c r="C4" s="17"/>
      <c r="D4" s="17"/>
      <c r="E4" s="17"/>
    </row>
    <row r="5" spans="1:5" ht="16" x14ac:dyDescent="0.2">
      <c r="A5" s="3" t="s">
        <v>43</v>
      </c>
      <c r="B5" s="4"/>
      <c r="C5" s="4"/>
      <c r="D5" s="4"/>
      <c r="E5" s="4"/>
    </row>
    <row r="7" spans="1:5" ht="27.75" customHeight="1" x14ac:dyDescent="0.2">
      <c r="A7" s="2" t="s">
        <v>44</v>
      </c>
      <c r="B7" s="17" t="s">
        <v>45</v>
      </c>
      <c r="C7" s="17"/>
      <c r="D7" s="17"/>
      <c r="E7" s="17"/>
    </row>
    <row r="8" spans="1:5" ht="27.75" customHeight="1" x14ac:dyDescent="0.2">
      <c r="A8" s="2" t="s">
        <v>46</v>
      </c>
      <c r="B8" s="17" t="s">
        <v>47</v>
      </c>
      <c r="C8" s="17"/>
      <c r="D8" s="17"/>
      <c r="E8" s="17"/>
    </row>
    <row r="9" spans="1:5" ht="27.75" customHeight="1" x14ac:dyDescent="0.2">
      <c r="A9" s="2" t="s">
        <v>48</v>
      </c>
      <c r="B9" s="17" t="s">
        <v>49</v>
      </c>
      <c r="C9" s="17"/>
      <c r="D9" s="17"/>
      <c r="E9" s="17"/>
    </row>
    <row r="10" spans="1:5" ht="27.75" customHeight="1" x14ac:dyDescent="0.2">
      <c r="A10" s="2" t="s">
        <v>50</v>
      </c>
      <c r="B10" s="17" t="s">
        <v>51</v>
      </c>
      <c r="C10" s="17"/>
      <c r="D10" s="17"/>
      <c r="E10" s="17"/>
    </row>
    <row r="11" spans="1:5" ht="16" x14ac:dyDescent="0.2">
      <c r="A11" s="3" t="s">
        <v>52</v>
      </c>
      <c r="B11" s="4"/>
      <c r="C11" s="4"/>
      <c r="D11" s="4"/>
      <c r="E11" s="4"/>
    </row>
    <row r="13" spans="1:5" ht="84" customHeight="1" x14ac:dyDescent="0.2">
      <c r="A13" s="2" t="s">
        <v>53</v>
      </c>
      <c r="B13" s="17" t="s">
        <v>54</v>
      </c>
      <c r="C13" s="17"/>
      <c r="D13" s="17"/>
      <c r="E13" s="17"/>
    </row>
    <row r="14" spans="1:5" ht="18" customHeight="1" x14ac:dyDescent="0.2">
      <c r="A14" s="2" t="s">
        <v>55</v>
      </c>
      <c r="B14" s="20" t="s">
        <v>242</v>
      </c>
      <c r="C14" s="20"/>
      <c r="D14" s="20"/>
      <c r="E14" s="20"/>
    </row>
    <row r="15" spans="1:5" ht="18" customHeight="1" x14ac:dyDescent="0.2">
      <c r="A15" s="2" t="s">
        <v>56</v>
      </c>
      <c r="B15" s="20" t="s">
        <v>242</v>
      </c>
      <c r="C15" s="20"/>
      <c r="D15" s="20"/>
      <c r="E15" s="20"/>
    </row>
    <row r="16" spans="1:5" ht="16" x14ac:dyDescent="0.2">
      <c r="A16" s="3" t="s">
        <v>57</v>
      </c>
      <c r="B16" s="4"/>
      <c r="C16" s="4"/>
      <c r="D16" s="4"/>
      <c r="E16" s="4"/>
    </row>
    <row r="18" spans="1:5" ht="27.75" customHeight="1" x14ac:dyDescent="0.2">
      <c r="A18" s="18"/>
      <c r="B18" s="18"/>
      <c r="C18" s="18"/>
      <c r="D18" s="18"/>
      <c r="E18" s="18"/>
    </row>
    <row r="20" spans="1:5" x14ac:dyDescent="0.2">
      <c r="A20" s="5" t="s">
        <v>58</v>
      </c>
      <c r="B20" s="5" t="s">
        <v>59</v>
      </c>
      <c r="C20" s="5" t="s">
        <v>60</v>
      </c>
    </row>
    <row r="21" spans="1:5" x14ac:dyDescent="0.2">
      <c r="A21" s="6">
        <v>1</v>
      </c>
      <c r="B21" s="7">
        <v>0.68100000000000005</v>
      </c>
      <c r="C21" s="7">
        <v>4.3499999999999997E-3</v>
      </c>
    </row>
    <row r="22" spans="1:5" x14ac:dyDescent="0.2">
      <c r="A22" s="6">
        <v>2</v>
      </c>
      <c r="B22" s="7">
        <v>0.60099999999999998</v>
      </c>
      <c r="C22" s="7">
        <v>8.8000000000000003E-4</v>
      </c>
    </row>
    <row r="23" spans="1:5" x14ac:dyDescent="0.2">
      <c r="A23" s="6">
        <v>3</v>
      </c>
      <c r="B23" s="7">
        <v>0.57099999999999995</v>
      </c>
      <c r="C23" s="7">
        <v>4.6000000000000001E-4</v>
      </c>
    </row>
    <row r="24" spans="1:5" x14ac:dyDescent="0.2">
      <c r="A24" s="6">
        <v>4</v>
      </c>
      <c r="B24" s="7">
        <v>0.56299999999999994</v>
      </c>
      <c r="C24" s="7">
        <v>3.8999999999999999E-4</v>
      </c>
    </row>
    <row r="25" spans="1:5" x14ac:dyDescent="0.2">
      <c r="A25" s="6">
        <v>5</v>
      </c>
      <c r="B25" s="7">
        <v>0.53900000000000003</v>
      </c>
      <c r="C25" s="7">
        <v>2.4000000000000001E-4</v>
      </c>
    </row>
    <row r="26" spans="1:5" x14ac:dyDescent="0.2">
      <c r="A26" s="6">
        <v>6</v>
      </c>
      <c r="B26" s="7">
        <v>0.52700000000000002</v>
      </c>
      <c r="C26" s="7">
        <v>1.9000000000000001E-4</v>
      </c>
    </row>
    <row r="27" spans="1:5" x14ac:dyDescent="0.2">
      <c r="A27" s="6">
        <v>7</v>
      </c>
      <c r="B27" s="7">
        <v>0.52</v>
      </c>
      <c r="C27" s="7">
        <v>1.6000000000000001E-4</v>
      </c>
    </row>
    <row r="28" spans="1:5" x14ac:dyDescent="0.2">
      <c r="A28" s="6">
        <v>8</v>
      </c>
      <c r="B28" s="7">
        <v>0.501</v>
      </c>
      <c r="C28" s="7">
        <v>1.2E-4</v>
      </c>
    </row>
    <row r="29" spans="1:5" x14ac:dyDescent="0.2">
      <c r="A29" s="6">
        <v>9</v>
      </c>
      <c r="B29" s="7">
        <v>0.49199999999999999</v>
      </c>
      <c r="C29" s="7">
        <v>1E-4</v>
      </c>
    </row>
    <row r="30" spans="1:5" x14ac:dyDescent="0.2">
      <c r="A30" s="6">
        <v>10</v>
      </c>
      <c r="B30" s="7">
        <v>0.46100000000000002</v>
      </c>
      <c r="C30" s="7">
        <v>5.0000000000000002E-5</v>
      </c>
    </row>
    <row r="31" spans="1:5" x14ac:dyDescent="0.2">
      <c r="A31" s="6">
        <v>11</v>
      </c>
      <c r="B31" s="7">
        <v>0.61499999999999999</v>
      </c>
      <c r="C31" s="7">
        <v>1.15E-3</v>
      </c>
    </row>
    <row r="32" spans="1:5" x14ac:dyDescent="0.2">
      <c r="A32" s="6">
        <v>12</v>
      </c>
      <c r="B32" s="7">
        <v>0.65300000000000002</v>
      </c>
      <c r="C32" s="7">
        <v>2.5000000000000001E-3</v>
      </c>
    </row>
    <row r="34" spans="1:5" ht="16" x14ac:dyDescent="0.2">
      <c r="A34" s="3" t="s">
        <v>61</v>
      </c>
      <c r="B34" s="4"/>
      <c r="C34" s="4"/>
      <c r="D34" s="4"/>
      <c r="E34" s="4"/>
    </row>
    <row r="36" spans="1:5" ht="27.75" customHeight="1" x14ac:dyDescent="0.2">
      <c r="A36" s="2"/>
      <c r="B36" s="19"/>
      <c r="C36" s="19"/>
      <c r="D36" s="19"/>
      <c r="E36" s="19"/>
    </row>
    <row r="38" spans="1:5" ht="16" x14ac:dyDescent="0.2">
      <c r="A38" s="3" t="s">
        <v>62</v>
      </c>
      <c r="B38" s="4"/>
      <c r="C38" s="4"/>
      <c r="D38" s="4"/>
      <c r="E38" s="4"/>
    </row>
    <row r="40" spans="1:5" ht="18" customHeight="1" x14ac:dyDescent="0.2">
      <c r="A40" s="2" t="s">
        <v>63</v>
      </c>
      <c r="B40" s="17">
        <f>MIN(B21:B32)</f>
        <v>0.46100000000000002</v>
      </c>
      <c r="C40" s="17"/>
      <c r="D40" s="17"/>
      <c r="E40" s="17"/>
    </row>
    <row r="41" spans="1:5" ht="18" customHeight="1" x14ac:dyDescent="0.2">
      <c r="A41" s="2" t="s">
        <v>64</v>
      </c>
      <c r="B41" s="17">
        <f>MAX(B21:B32)</f>
        <v>0.68100000000000005</v>
      </c>
      <c r="C41" s="17"/>
      <c r="D41" s="17"/>
      <c r="E41" s="17"/>
    </row>
    <row r="42" spans="1:5" ht="18" customHeight="1" x14ac:dyDescent="0.2">
      <c r="A42" s="2" t="s">
        <v>65</v>
      </c>
      <c r="B42" s="17">
        <f>B41-B40</f>
        <v>0.22000000000000003</v>
      </c>
      <c r="C42" s="17"/>
      <c r="D42" s="17"/>
      <c r="E42" s="17"/>
    </row>
    <row r="44" spans="1:5" ht="16" x14ac:dyDescent="0.2">
      <c r="A44" s="3" t="s">
        <v>66</v>
      </c>
      <c r="B44" s="4"/>
      <c r="C44" s="4"/>
      <c r="D44" s="4"/>
      <c r="E44" s="4"/>
    </row>
    <row r="46" spans="1:5" ht="27.75" customHeight="1" x14ac:dyDescent="0.2">
      <c r="A46" s="2" t="s">
        <v>67</v>
      </c>
      <c r="B46" s="17" t="s">
        <v>68</v>
      </c>
      <c r="C46" s="17"/>
      <c r="D46" s="17"/>
      <c r="E46" s="17"/>
    </row>
    <row r="47" spans="1:5" ht="84" customHeight="1" x14ac:dyDescent="0.2">
      <c r="A47" s="2" t="s">
        <v>69</v>
      </c>
      <c r="B47" s="17" t="s">
        <v>70</v>
      </c>
      <c r="C47" s="17"/>
      <c r="D47" s="17"/>
      <c r="E47" s="17"/>
    </row>
    <row r="49" spans="1:5" ht="18" customHeight="1" x14ac:dyDescent="0.2">
      <c r="A49" s="2" t="s">
        <v>67</v>
      </c>
      <c r="B49" s="17" t="s">
        <v>71</v>
      </c>
      <c r="C49" s="17"/>
      <c r="D49" s="17"/>
      <c r="E49" s="17"/>
    </row>
    <row r="50" spans="1:5" ht="42" customHeight="1" x14ac:dyDescent="0.2">
      <c r="A50" s="2" t="s">
        <v>69</v>
      </c>
      <c r="B50" s="17" t="s">
        <v>72</v>
      </c>
      <c r="C50" s="17"/>
      <c r="D50" s="17"/>
      <c r="E50" s="17"/>
    </row>
    <row r="52" spans="1:5" ht="27.75" customHeight="1" x14ac:dyDescent="0.2">
      <c r="A52" s="2" t="s">
        <v>67</v>
      </c>
      <c r="B52" s="17" t="s">
        <v>73</v>
      </c>
      <c r="C52" s="17"/>
      <c r="D52" s="17"/>
      <c r="E52" s="17"/>
    </row>
    <row r="53" spans="1:5" ht="55.5" customHeight="1" x14ac:dyDescent="0.2">
      <c r="A53" s="2" t="s">
        <v>69</v>
      </c>
      <c r="B53" s="17" t="s">
        <v>74</v>
      </c>
      <c r="C53" s="17"/>
      <c r="D53" s="17"/>
      <c r="E53" s="17"/>
    </row>
    <row r="55" spans="1:5" ht="18" customHeight="1" x14ac:dyDescent="0.2">
      <c r="A55" s="2" t="s">
        <v>67</v>
      </c>
      <c r="B55" s="17" t="s">
        <v>75</v>
      </c>
      <c r="C55" s="17"/>
      <c r="D55" s="17"/>
      <c r="E55" s="17"/>
    </row>
    <row r="56" spans="1:5" ht="27.75" customHeight="1" x14ac:dyDescent="0.2">
      <c r="A56" s="2" t="s">
        <v>69</v>
      </c>
      <c r="B56" s="17" t="s">
        <v>76</v>
      </c>
      <c r="C56" s="17"/>
      <c r="D56" s="17"/>
      <c r="E56" s="17"/>
    </row>
    <row r="58" spans="1:5" ht="18" customHeight="1" x14ac:dyDescent="0.2">
      <c r="A58" s="2" t="s">
        <v>67</v>
      </c>
      <c r="B58" s="17" t="s">
        <v>77</v>
      </c>
      <c r="C58" s="17"/>
      <c r="D58" s="17"/>
      <c r="E58" s="17"/>
    </row>
    <row r="59" spans="1:5" ht="42" customHeight="1" x14ac:dyDescent="0.2">
      <c r="A59" s="2" t="s">
        <v>69</v>
      </c>
      <c r="B59" s="17" t="s">
        <v>78</v>
      </c>
      <c r="C59" s="17"/>
      <c r="D59" s="17"/>
      <c r="E59" s="17"/>
    </row>
    <row r="61" spans="1:5" ht="16" x14ac:dyDescent="0.2">
      <c r="A61" s="3" t="s">
        <v>79</v>
      </c>
      <c r="B61" s="4"/>
      <c r="C61" s="4"/>
      <c r="D61" s="4"/>
      <c r="E61" s="4"/>
    </row>
    <row r="63" spans="1:5" ht="54" customHeight="1" x14ac:dyDescent="0.2">
      <c r="A63" s="2" t="s">
        <v>80</v>
      </c>
      <c r="B63" s="17" t="s">
        <v>81</v>
      </c>
      <c r="C63" s="17"/>
      <c r="D63" s="17"/>
      <c r="E63" s="17"/>
    </row>
    <row r="64" spans="1:5" ht="27.75" customHeight="1" x14ac:dyDescent="0.2">
      <c r="A64" s="18"/>
      <c r="B64" s="18"/>
      <c r="C64" s="18"/>
      <c r="D64" s="18"/>
      <c r="E64" s="18"/>
    </row>
  </sheetData>
  <mergeCells count="26">
    <mergeCell ref="B3:E3"/>
    <mergeCell ref="B4:E4"/>
    <mergeCell ref="B7:E7"/>
    <mergeCell ref="B8:E8"/>
    <mergeCell ref="B9:E9"/>
    <mergeCell ref="B10:E10"/>
    <mergeCell ref="B13:E13"/>
    <mergeCell ref="B14:E14"/>
    <mergeCell ref="B15:E15"/>
    <mergeCell ref="A18:E18"/>
    <mergeCell ref="B36:E36"/>
    <mergeCell ref="B40:E40"/>
    <mergeCell ref="B41:E41"/>
    <mergeCell ref="B42:E42"/>
    <mergeCell ref="B46:E46"/>
    <mergeCell ref="B47:E47"/>
    <mergeCell ref="B49:E49"/>
    <mergeCell ref="B50:E50"/>
    <mergeCell ref="B52:E52"/>
    <mergeCell ref="B53:E53"/>
    <mergeCell ref="A64:E64"/>
    <mergeCell ref="B55:E55"/>
    <mergeCell ref="B56:E56"/>
    <mergeCell ref="B58:E58"/>
    <mergeCell ref="B59:E59"/>
    <mergeCell ref="B63:E63"/>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2"/>
  <sheetViews>
    <sheetView topLeftCell="A52" zoomScaleNormal="100" workbookViewId="0">
      <selection activeCell="M41" sqref="M41"/>
    </sheetView>
  </sheetViews>
  <sheetFormatPr baseColWidth="10" defaultColWidth="8.6640625" defaultRowHeight="15" x14ac:dyDescent="0.2"/>
  <cols>
    <col min="1" max="1" width="22" customWidth="1"/>
    <col min="2" max="5" width="20" customWidth="1"/>
  </cols>
  <sheetData>
    <row r="1" spans="1:5" ht="18" x14ac:dyDescent="0.2">
      <c r="A1" s="1" t="s">
        <v>82</v>
      </c>
    </row>
    <row r="3" spans="1:5" ht="27.75" customHeight="1" x14ac:dyDescent="0.2">
      <c r="A3" s="2" t="s">
        <v>83</v>
      </c>
      <c r="B3" s="17" t="s">
        <v>84</v>
      </c>
      <c r="C3" s="17"/>
      <c r="D3" s="17"/>
      <c r="E3" s="17"/>
    </row>
    <row r="4" spans="1:5" ht="27.75" customHeight="1" x14ac:dyDescent="0.2">
      <c r="A4" s="2" t="s">
        <v>39</v>
      </c>
      <c r="B4" s="17" t="s">
        <v>85</v>
      </c>
      <c r="C4" s="17"/>
      <c r="D4" s="17"/>
      <c r="E4" s="17"/>
    </row>
    <row r="5" spans="1:5" ht="27.75" customHeight="1" x14ac:dyDescent="0.2">
      <c r="A5" s="2" t="s">
        <v>86</v>
      </c>
      <c r="B5" s="17" t="s">
        <v>87</v>
      </c>
      <c r="C5" s="17"/>
      <c r="D5" s="17"/>
      <c r="E5" s="17"/>
    </row>
    <row r="6" spans="1:5" ht="16" x14ac:dyDescent="0.2">
      <c r="A6" s="3" t="s">
        <v>43</v>
      </c>
      <c r="B6" s="4"/>
      <c r="C6" s="4"/>
      <c r="D6" s="4"/>
      <c r="E6" s="4"/>
    </row>
    <row r="8" spans="1:5" ht="27.75" customHeight="1" x14ac:dyDescent="0.2">
      <c r="A8" s="2" t="s">
        <v>88</v>
      </c>
      <c r="B8" s="17" t="s">
        <v>89</v>
      </c>
      <c r="C8" s="17"/>
      <c r="D8" s="17"/>
      <c r="E8" s="17"/>
    </row>
    <row r="9" spans="1:5" ht="18" customHeight="1" x14ac:dyDescent="0.2">
      <c r="A9" s="2" t="s">
        <v>90</v>
      </c>
      <c r="B9" s="17" t="s">
        <v>91</v>
      </c>
      <c r="C9" s="17"/>
      <c r="D9" s="17"/>
      <c r="E9" s="17"/>
    </row>
    <row r="10" spans="1:5" ht="18" customHeight="1" x14ac:dyDescent="0.2">
      <c r="A10" s="2" t="s">
        <v>92</v>
      </c>
      <c r="B10" s="17" t="s">
        <v>93</v>
      </c>
      <c r="C10" s="17"/>
      <c r="D10" s="17"/>
      <c r="E10" s="17"/>
    </row>
    <row r="11" spans="1:5" ht="18" customHeight="1" x14ac:dyDescent="0.2">
      <c r="A11" s="2" t="s">
        <v>94</v>
      </c>
      <c r="B11" s="17" t="s">
        <v>95</v>
      </c>
      <c r="C11" s="17"/>
      <c r="D11" s="17"/>
      <c r="E11" s="17"/>
    </row>
    <row r="12" spans="1:5" ht="16" x14ac:dyDescent="0.2">
      <c r="A12" s="3" t="s">
        <v>52</v>
      </c>
      <c r="B12" s="4"/>
      <c r="C12" s="4"/>
      <c r="D12" s="4"/>
      <c r="E12" s="4"/>
    </row>
    <row r="14" spans="1:5" ht="42" customHeight="1" x14ac:dyDescent="0.2">
      <c r="A14" s="2" t="s">
        <v>53</v>
      </c>
      <c r="B14" s="17" t="s">
        <v>96</v>
      </c>
      <c r="C14" s="17"/>
      <c r="D14" s="17"/>
      <c r="E14" s="17"/>
    </row>
    <row r="15" spans="1:5" ht="18" customHeight="1" x14ac:dyDescent="0.2">
      <c r="A15" s="18" t="s">
        <v>97</v>
      </c>
      <c r="B15" s="18"/>
      <c r="C15" s="18"/>
      <c r="D15" s="18"/>
      <c r="E15" s="18"/>
    </row>
    <row r="17" spans="1:5" ht="18" customHeight="1" x14ac:dyDescent="0.2">
      <c r="A17" s="2" t="s">
        <v>55</v>
      </c>
      <c r="B17" s="20" t="s">
        <v>242</v>
      </c>
      <c r="C17" s="20"/>
      <c r="D17" s="20"/>
      <c r="E17" s="20"/>
    </row>
    <row r="18" spans="1:5" ht="18" customHeight="1" x14ac:dyDescent="0.2">
      <c r="A18" s="2" t="s">
        <v>56</v>
      </c>
      <c r="B18" s="20" t="s">
        <v>242</v>
      </c>
      <c r="C18" s="20"/>
      <c r="D18" s="20"/>
      <c r="E18" s="20"/>
    </row>
    <row r="19" spans="1:5" ht="16" x14ac:dyDescent="0.2">
      <c r="A19" s="3" t="s">
        <v>98</v>
      </c>
      <c r="B19" s="4"/>
      <c r="C19" s="4"/>
      <c r="D19" s="4"/>
      <c r="E19" s="4"/>
    </row>
    <row r="21" spans="1:5" x14ac:dyDescent="0.2">
      <c r="A21" s="5" t="s">
        <v>58</v>
      </c>
      <c r="B21" s="5" t="s">
        <v>99</v>
      </c>
      <c r="C21" s="5" t="s">
        <v>100</v>
      </c>
      <c r="D21" s="5" t="s">
        <v>101</v>
      </c>
    </row>
    <row r="22" spans="1:5" x14ac:dyDescent="0.2">
      <c r="A22" s="6">
        <v>1</v>
      </c>
      <c r="B22" s="7">
        <v>2.1000000000000001E-2</v>
      </c>
      <c r="C22" s="7">
        <v>7.2500000000000004E-3</v>
      </c>
      <c r="D22" s="6">
        <f t="shared" ref="D22:D32" si="0">B22*C22</f>
        <v>1.5225000000000001E-4</v>
      </c>
    </row>
    <row r="23" spans="1:5" x14ac:dyDescent="0.2">
      <c r="A23" s="6">
        <v>2</v>
      </c>
      <c r="B23" s="7">
        <v>3.5000000000000003E-2</v>
      </c>
      <c r="C23" s="7">
        <v>1.175E-2</v>
      </c>
      <c r="D23" s="6">
        <f t="shared" si="0"/>
        <v>4.1125000000000005E-4</v>
      </c>
    </row>
    <row r="24" spans="1:5" x14ac:dyDescent="0.2">
      <c r="A24" s="6">
        <v>3</v>
      </c>
      <c r="B24" s="7">
        <v>7.1999999999999995E-2</v>
      </c>
      <c r="C24" s="7">
        <v>2.0639999999999999E-2</v>
      </c>
      <c r="D24" s="6">
        <f t="shared" si="0"/>
        <v>1.4860799999999999E-3</v>
      </c>
    </row>
    <row r="25" spans="1:5" x14ac:dyDescent="0.2">
      <c r="A25" s="6">
        <v>4</v>
      </c>
      <c r="B25" s="7">
        <v>0.11</v>
      </c>
      <c r="C25" s="7">
        <v>3.245E-2</v>
      </c>
      <c r="D25" s="6">
        <f t="shared" si="0"/>
        <v>3.5695000000000002E-3</v>
      </c>
    </row>
    <row r="26" spans="1:5" x14ac:dyDescent="0.2">
      <c r="A26" s="6">
        <v>5</v>
      </c>
      <c r="B26" s="7">
        <v>0.313</v>
      </c>
      <c r="C26" s="7">
        <v>5.262E-2</v>
      </c>
      <c r="D26" s="6">
        <f t="shared" si="0"/>
        <v>1.6470060000000002E-2</v>
      </c>
    </row>
    <row r="27" spans="1:5" x14ac:dyDescent="0.2">
      <c r="A27" s="6">
        <v>6</v>
      </c>
      <c r="B27" s="7">
        <v>0.53400000000000003</v>
      </c>
      <c r="C27" s="7">
        <v>6.6699999999999995E-2</v>
      </c>
      <c r="D27" s="6">
        <f t="shared" si="0"/>
        <v>3.5617799999999998E-2</v>
      </c>
    </row>
    <row r="28" spans="1:5" x14ac:dyDescent="0.2">
      <c r="A28" s="6">
        <v>7</v>
      </c>
      <c r="B28" s="7">
        <v>1.034</v>
      </c>
      <c r="C28" s="7">
        <v>9.1399999999999995E-2</v>
      </c>
      <c r="D28" s="6">
        <f t="shared" si="0"/>
        <v>9.4507599999999997E-2</v>
      </c>
    </row>
    <row r="29" spans="1:5" x14ac:dyDescent="0.2">
      <c r="A29" s="6">
        <v>8</v>
      </c>
      <c r="B29" s="7">
        <v>1.333</v>
      </c>
      <c r="C29" s="7">
        <v>0.10489999999999999</v>
      </c>
      <c r="D29" s="6">
        <f t="shared" si="0"/>
        <v>0.13983169999999998</v>
      </c>
    </row>
    <row r="30" spans="1:5" x14ac:dyDescent="0.2">
      <c r="A30" s="6">
        <v>9</v>
      </c>
      <c r="B30" s="7">
        <v>2.1469999999999998</v>
      </c>
      <c r="C30" s="7">
        <v>0.1366</v>
      </c>
      <c r="D30" s="6">
        <f t="shared" si="0"/>
        <v>0.29328019999999999</v>
      </c>
    </row>
    <row r="31" spans="1:5" x14ac:dyDescent="0.2">
      <c r="A31" s="6">
        <v>10</v>
      </c>
      <c r="B31" s="7">
        <v>2.5499999999999998</v>
      </c>
      <c r="C31" s="7">
        <v>0.15040000000000001</v>
      </c>
      <c r="D31" s="6">
        <f t="shared" si="0"/>
        <v>0.38351999999999997</v>
      </c>
    </row>
    <row r="32" spans="1:5" x14ac:dyDescent="0.2">
      <c r="A32" s="6">
        <v>11</v>
      </c>
      <c r="B32" s="7">
        <v>1.8480000000000001</v>
      </c>
      <c r="C32" s="7">
        <v>0.12529999999999999</v>
      </c>
      <c r="D32" s="6">
        <f t="shared" si="0"/>
        <v>0.23155439999999999</v>
      </c>
    </row>
    <row r="34" spans="1:5" ht="27.75" customHeight="1" x14ac:dyDescent="0.2">
      <c r="A34" s="2" t="s">
        <v>102</v>
      </c>
      <c r="B34" s="17" t="str">
        <f>IF(OR(MAX(B22:B32)&gt;6.3,MAX(C22:C32)&gt;0.15,MAX(D22:D32)&gt;0.945),"WARNING: a point exceeds a rated limit!","All points within rated limits")</f>
        <v>WARNING: a point exceeds a rated limit!</v>
      </c>
      <c r="C34" s="17"/>
      <c r="D34" s="17"/>
      <c r="E34" s="17"/>
    </row>
    <row r="36" spans="1:5" ht="16" x14ac:dyDescent="0.2">
      <c r="A36" s="3" t="s">
        <v>103</v>
      </c>
      <c r="B36" s="4"/>
      <c r="C36" s="4"/>
      <c r="D36" s="4"/>
      <c r="E36" s="4"/>
    </row>
    <row r="38" spans="1:5" ht="27.75" customHeight="1" x14ac:dyDescent="0.2">
      <c r="A38" s="2" t="s">
        <v>36</v>
      </c>
      <c r="B38" s="17" t="s">
        <v>104</v>
      </c>
      <c r="C38" s="17"/>
      <c r="D38" s="17"/>
      <c r="E38" s="17"/>
    </row>
    <row r="39" spans="1:5" x14ac:dyDescent="0.2">
      <c r="A39" s="5" t="s">
        <v>105</v>
      </c>
      <c r="B39" s="5" t="s">
        <v>106</v>
      </c>
    </row>
    <row r="40" spans="1:5" x14ac:dyDescent="0.2">
      <c r="A40" s="6">
        <v>9.4999999999999998E-3</v>
      </c>
      <c r="B40" s="6">
        <v>3.1111111111111098</v>
      </c>
    </row>
    <row r="41" spans="1:5" x14ac:dyDescent="0.2">
      <c r="A41" s="6">
        <v>1.6195000000000001E-2</v>
      </c>
      <c r="B41" s="6">
        <v>4.1619797525309297</v>
      </c>
    </row>
    <row r="42" spans="1:5" x14ac:dyDescent="0.2">
      <c r="A42" s="6">
        <v>2.6544999999999999E-2</v>
      </c>
      <c r="B42" s="6">
        <v>3.2176121930567301</v>
      </c>
    </row>
    <row r="43" spans="1:5" x14ac:dyDescent="0.2">
      <c r="A43" s="6">
        <v>4.2535000000000003E-2</v>
      </c>
      <c r="B43" s="6">
        <v>10.064452156668301</v>
      </c>
    </row>
    <row r="44" spans="1:5" x14ac:dyDescent="0.2">
      <c r="A44" s="6">
        <v>5.9659999999999998E-2</v>
      </c>
      <c r="B44" s="6">
        <v>15.6960227272727</v>
      </c>
    </row>
    <row r="45" spans="1:5" x14ac:dyDescent="0.2">
      <c r="A45" s="6">
        <v>7.9049999999999995E-2</v>
      </c>
      <c r="B45" s="6">
        <v>20.242914979757099</v>
      </c>
    </row>
    <row r="46" spans="1:5" x14ac:dyDescent="0.2">
      <c r="A46" s="6">
        <v>9.8150000000000001E-2</v>
      </c>
      <c r="B46" s="6">
        <v>22.148148148148199</v>
      </c>
    </row>
    <row r="47" spans="1:5" x14ac:dyDescent="0.2">
      <c r="A47" s="6">
        <v>0.11509999999999999</v>
      </c>
      <c r="B47" s="6">
        <v>25.245098039215701</v>
      </c>
    </row>
    <row r="48" spans="1:5" x14ac:dyDescent="0.2">
      <c r="A48" s="6">
        <v>0.13095000000000001</v>
      </c>
      <c r="B48" s="6">
        <v>26.460176991150401</v>
      </c>
    </row>
    <row r="49" spans="1:5" x14ac:dyDescent="0.2">
      <c r="A49" s="6">
        <v>0.14349999999999999</v>
      </c>
      <c r="B49" s="6">
        <v>29.202898550724601</v>
      </c>
    </row>
    <row r="51" spans="1:5" ht="16" x14ac:dyDescent="0.2">
      <c r="A51" s="3" t="s">
        <v>107</v>
      </c>
      <c r="B51" s="4"/>
      <c r="C51" s="4"/>
      <c r="D51" s="4"/>
      <c r="E51" s="4"/>
    </row>
    <row r="53" spans="1:5" ht="27.75" customHeight="1" x14ac:dyDescent="0.2">
      <c r="A53" s="2" t="s">
        <v>88</v>
      </c>
      <c r="B53" s="17" t="s">
        <v>108</v>
      </c>
      <c r="C53" s="17"/>
      <c r="D53" s="17"/>
      <c r="E53" s="17"/>
    </row>
    <row r="54" spans="1:5" ht="27.75" customHeight="1" x14ac:dyDescent="0.2">
      <c r="A54" s="2" t="s">
        <v>109</v>
      </c>
      <c r="B54" s="17" t="s">
        <v>110</v>
      </c>
      <c r="C54" s="17"/>
      <c r="D54" s="17"/>
      <c r="E54" s="17"/>
    </row>
    <row r="55" spans="1:5" ht="16" x14ac:dyDescent="0.2">
      <c r="A55" s="3" t="s">
        <v>66</v>
      </c>
      <c r="B55" s="4"/>
      <c r="C55" s="4"/>
      <c r="D55" s="4"/>
      <c r="E55" s="4"/>
    </row>
    <row r="57" spans="1:5" ht="18" customHeight="1" x14ac:dyDescent="0.2">
      <c r="A57" s="2" t="s">
        <v>67</v>
      </c>
      <c r="B57" s="17" t="s">
        <v>111</v>
      </c>
      <c r="C57" s="17"/>
      <c r="D57" s="17"/>
      <c r="E57" s="17"/>
    </row>
    <row r="58" spans="1:5" ht="27.75" customHeight="1" x14ac:dyDescent="0.2">
      <c r="A58" s="2" t="s">
        <v>69</v>
      </c>
      <c r="B58" s="17" t="s">
        <v>112</v>
      </c>
      <c r="C58" s="17"/>
      <c r="D58" s="17"/>
      <c r="E58" s="17"/>
    </row>
    <row r="60" spans="1:5" ht="27.75" customHeight="1" x14ac:dyDescent="0.2">
      <c r="A60" s="2" t="s">
        <v>67</v>
      </c>
      <c r="B60" s="17" t="s">
        <v>113</v>
      </c>
      <c r="C60" s="17"/>
      <c r="D60" s="17"/>
      <c r="E60" s="17"/>
    </row>
    <row r="61" spans="1:5" ht="42" customHeight="1" x14ac:dyDescent="0.2">
      <c r="A61" s="2" t="s">
        <v>69</v>
      </c>
      <c r="B61" s="17" t="s">
        <v>114</v>
      </c>
      <c r="C61" s="17"/>
      <c r="D61" s="17"/>
      <c r="E61" s="17"/>
    </row>
    <row r="63" spans="1:5" ht="18" customHeight="1" x14ac:dyDescent="0.2">
      <c r="A63" s="2" t="s">
        <v>67</v>
      </c>
      <c r="B63" s="17" t="s">
        <v>115</v>
      </c>
      <c r="C63" s="17"/>
      <c r="D63" s="17"/>
      <c r="E63" s="17"/>
    </row>
    <row r="64" spans="1:5" ht="27.75" customHeight="1" x14ac:dyDescent="0.2">
      <c r="A64" s="2" t="s">
        <v>69</v>
      </c>
      <c r="B64" s="17" t="s">
        <v>116</v>
      </c>
      <c r="C64" s="17"/>
      <c r="D64" s="17"/>
      <c r="E64" s="17"/>
    </row>
    <row r="66" spans="1:5" ht="18" customHeight="1" x14ac:dyDescent="0.2">
      <c r="A66" s="2" t="s">
        <v>67</v>
      </c>
      <c r="B66" s="17" t="s">
        <v>117</v>
      </c>
      <c r="C66" s="17"/>
      <c r="D66" s="17"/>
      <c r="E66" s="17"/>
    </row>
    <row r="67" spans="1:5" ht="42" customHeight="1" x14ac:dyDescent="0.2">
      <c r="A67" s="2" t="s">
        <v>69</v>
      </c>
      <c r="B67" s="17" t="s">
        <v>118</v>
      </c>
      <c r="C67" s="17"/>
      <c r="D67" s="17"/>
      <c r="E67" s="17"/>
    </row>
    <row r="69" spans="1:5" ht="16" x14ac:dyDescent="0.2">
      <c r="A69" s="3" t="s">
        <v>79</v>
      </c>
      <c r="B69" s="4"/>
      <c r="C69" s="4"/>
      <c r="D69" s="4"/>
      <c r="E69" s="4"/>
    </row>
    <row r="71" spans="1:5" ht="42" customHeight="1" x14ac:dyDescent="0.2">
      <c r="A71" s="2" t="s">
        <v>80</v>
      </c>
      <c r="B71" s="17" t="s">
        <v>119</v>
      </c>
      <c r="C71" s="17"/>
      <c r="D71" s="17"/>
      <c r="E71" s="17"/>
    </row>
    <row r="72" spans="1:5" ht="18" customHeight="1" x14ac:dyDescent="0.2">
      <c r="A72" s="18"/>
      <c r="B72" s="18"/>
      <c r="C72" s="18"/>
      <c r="D72" s="18"/>
      <c r="E72" s="18"/>
    </row>
  </sheetData>
  <mergeCells count="25">
    <mergeCell ref="B3:E3"/>
    <mergeCell ref="B4:E4"/>
    <mergeCell ref="B5:E5"/>
    <mergeCell ref="B8:E8"/>
    <mergeCell ref="B9:E9"/>
    <mergeCell ref="B10:E10"/>
    <mergeCell ref="B11:E11"/>
    <mergeCell ref="B14:E14"/>
    <mergeCell ref="A15:E15"/>
    <mergeCell ref="B17:E17"/>
    <mergeCell ref="B18:E18"/>
    <mergeCell ref="B34:E34"/>
    <mergeCell ref="B38:E38"/>
    <mergeCell ref="B53:E53"/>
    <mergeCell ref="B54:E54"/>
    <mergeCell ref="B57:E57"/>
    <mergeCell ref="B58:E58"/>
    <mergeCell ref="B60:E60"/>
    <mergeCell ref="B61:E61"/>
    <mergeCell ref="B63:E63"/>
    <mergeCell ref="B64:E64"/>
    <mergeCell ref="B66:E66"/>
    <mergeCell ref="B67:E67"/>
    <mergeCell ref="B71:E71"/>
    <mergeCell ref="A72:E72"/>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5"/>
  <sheetViews>
    <sheetView topLeftCell="A9" zoomScaleNormal="100" workbookViewId="0">
      <selection activeCell="G32" sqref="G32"/>
    </sheetView>
  </sheetViews>
  <sheetFormatPr baseColWidth="10" defaultColWidth="8.6640625" defaultRowHeight="15" x14ac:dyDescent="0.2"/>
  <cols>
    <col min="1" max="1" width="22" customWidth="1"/>
    <col min="2" max="5" width="20" customWidth="1"/>
  </cols>
  <sheetData>
    <row r="1" spans="1:5" ht="18" x14ac:dyDescent="0.2">
      <c r="A1" s="1" t="s">
        <v>120</v>
      </c>
    </row>
    <row r="3" spans="1:5" ht="42" customHeight="1" x14ac:dyDescent="0.2">
      <c r="A3" s="2" t="s">
        <v>83</v>
      </c>
      <c r="B3" s="17" t="s">
        <v>121</v>
      </c>
      <c r="C3" s="17"/>
      <c r="D3" s="17"/>
      <c r="E3" s="17"/>
    </row>
    <row r="4" spans="1:5" ht="27.75" customHeight="1" x14ac:dyDescent="0.2">
      <c r="A4" s="2" t="s">
        <v>39</v>
      </c>
      <c r="B4" s="17" t="s">
        <v>122</v>
      </c>
      <c r="C4" s="17"/>
      <c r="D4" s="17"/>
      <c r="E4" s="17"/>
    </row>
    <row r="5" spans="1:5" ht="18" customHeight="1" x14ac:dyDescent="0.2">
      <c r="A5" s="2" t="s">
        <v>86</v>
      </c>
      <c r="B5" s="17" t="s">
        <v>123</v>
      </c>
      <c r="C5" s="17"/>
      <c r="D5" s="17"/>
      <c r="E5" s="17"/>
    </row>
    <row r="6" spans="1:5" ht="33" customHeight="1" x14ac:dyDescent="0.2">
      <c r="A6" s="2" t="s">
        <v>124</v>
      </c>
      <c r="B6" s="17" t="s">
        <v>125</v>
      </c>
      <c r="C6" s="17"/>
      <c r="D6" s="17"/>
      <c r="E6" s="17"/>
    </row>
    <row r="7" spans="1:5" ht="42" customHeight="1" x14ac:dyDescent="0.2">
      <c r="A7" s="18" t="s">
        <v>126</v>
      </c>
      <c r="B7" s="18"/>
      <c r="C7" s="18"/>
      <c r="D7" s="18"/>
      <c r="E7" s="18"/>
    </row>
    <row r="9" spans="1:5" ht="27.75" customHeight="1" x14ac:dyDescent="0.2">
      <c r="A9" s="2" t="s">
        <v>127</v>
      </c>
      <c r="B9" s="17" t="s">
        <v>128</v>
      </c>
      <c r="C9" s="17"/>
      <c r="D9" s="17"/>
      <c r="E9" s="17"/>
    </row>
    <row r="10" spans="1:5" ht="16" x14ac:dyDescent="0.2">
      <c r="A10" s="3" t="s">
        <v>52</v>
      </c>
      <c r="B10" s="4"/>
      <c r="C10" s="4"/>
      <c r="D10" s="4"/>
      <c r="E10" s="4"/>
    </row>
    <row r="12" spans="1:5" ht="70" customHeight="1" x14ac:dyDescent="0.2">
      <c r="A12" s="2" t="s">
        <v>53</v>
      </c>
      <c r="B12" s="17" t="s">
        <v>129</v>
      </c>
      <c r="C12" s="17"/>
      <c r="D12" s="17"/>
      <c r="E12" s="17"/>
    </row>
    <row r="13" spans="1:5" ht="18" customHeight="1" x14ac:dyDescent="0.2">
      <c r="A13" s="2" t="s">
        <v>55</v>
      </c>
      <c r="B13" s="20" t="s">
        <v>242</v>
      </c>
      <c r="C13" s="20"/>
      <c r="D13" s="20"/>
      <c r="E13" s="20"/>
    </row>
    <row r="14" spans="1:5" ht="18" customHeight="1" x14ac:dyDescent="0.2">
      <c r="A14" s="2" t="s">
        <v>56</v>
      </c>
      <c r="B14" s="20" t="s">
        <v>242</v>
      </c>
      <c r="C14" s="20"/>
      <c r="D14" s="20"/>
      <c r="E14" s="20"/>
    </row>
    <row r="15" spans="1:5" ht="16" x14ac:dyDescent="0.2">
      <c r="A15" s="3" t="s">
        <v>98</v>
      </c>
      <c r="B15" s="4"/>
      <c r="C15" s="4"/>
      <c r="D15" s="4"/>
      <c r="E15" s="4"/>
    </row>
    <row r="17" spans="1:5" ht="18" customHeight="1" x14ac:dyDescent="0.2">
      <c r="A17" s="2" t="s">
        <v>130</v>
      </c>
      <c r="B17" s="20">
        <v>6.4</v>
      </c>
      <c r="C17" s="20"/>
      <c r="D17" s="20"/>
      <c r="E17" s="20"/>
    </row>
    <row r="18" spans="1:5" x14ac:dyDescent="0.2">
      <c r="A18" s="5" t="s">
        <v>58</v>
      </c>
      <c r="B18" s="5" t="s">
        <v>131</v>
      </c>
      <c r="C18" s="5" t="s">
        <v>132</v>
      </c>
      <c r="D18" s="5" t="s">
        <v>133</v>
      </c>
    </row>
    <row r="19" spans="1:5" x14ac:dyDescent="0.2">
      <c r="A19" s="6">
        <v>1</v>
      </c>
      <c r="B19" s="7">
        <v>900090</v>
      </c>
      <c r="C19" s="7">
        <v>5.9</v>
      </c>
      <c r="D19" s="6">
        <f t="shared" ref="D19:D24" si="0">B19*($B$17/C19-1)</f>
        <v>76278.813559322036</v>
      </c>
    </row>
    <row r="20" spans="1:5" x14ac:dyDescent="0.2">
      <c r="A20" s="6">
        <v>2</v>
      </c>
      <c r="B20" s="7">
        <v>90090</v>
      </c>
      <c r="C20" s="7">
        <v>5.8</v>
      </c>
      <c r="D20" s="6">
        <f t="shared" si="0"/>
        <v>9319.6551724137917</v>
      </c>
    </row>
    <row r="21" spans="1:5" x14ac:dyDescent="0.2">
      <c r="A21" s="6">
        <v>3</v>
      </c>
      <c r="B21" s="7">
        <v>9090</v>
      </c>
      <c r="C21" s="7">
        <v>5.5750000000000002</v>
      </c>
      <c r="D21" s="6">
        <f t="shared" si="0"/>
        <v>1345.1569506726455</v>
      </c>
    </row>
    <row r="22" spans="1:5" x14ac:dyDescent="0.2">
      <c r="A22" s="6">
        <v>4</v>
      </c>
      <c r="B22" s="7">
        <v>990</v>
      </c>
      <c r="C22" s="7">
        <v>5.6749999999999998</v>
      </c>
      <c r="D22" s="6">
        <f t="shared" si="0"/>
        <v>126.47577092511024</v>
      </c>
    </row>
    <row r="23" spans="1:5" x14ac:dyDescent="0.2">
      <c r="A23" s="6">
        <v>5</v>
      </c>
      <c r="B23" s="7">
        <v>90</v>
      </c>
      <c r="C23" s="7">
        <v>3.85</v>
      </c>
      <c r="D23" s="6">
        <f t="shared" si="0"/>
        <v>59.610389610389618</v>
      </c>
    </row>
    <row r="24" spans="1:5" x14ac:dyDescent="0.2">
      <c r="A24" s="6">
        <v>6</v>
      </c>
      <c r="B24" s="7">
        <v>9</v>
      </c>
      <c r="C24" s="7">
        <v>0.97499999999999998</v>
      </c>
      <c r="D24" s="6">
        <f t="shared" si="0"/>
        <v>50.07692307692308</v>
      </c>
    </row>
    <row r="26" spans="1:5" ht="18" customHeight="1" x14ac:dyDescent="0.2">
      <c r="A26" s="2" t="s">
        <v>134</v>
      </c>
      <c r="B26" s="17">
        <f>AVERAGE(D19:D24)</f>
        <v>14529.964794336818</v>
      </c>
      <c r="C26" s="17"/>
      <c r="D26" s="17"/>
      <c r="E26" s="17"/>
    </row>
    <row r="27" spans="1:5" ht="18" customHeight="1" x14ac:dyDescent="0.2">
      <c r="A27" s="2" t="s">
        <v>135</v>
      </c>
      <c r="B27" s="17">
        <f>STDEV(D19:D24)</f>
        <v>30464.489535988796</v>
      </c>
      <c r="C27" s="17"/>
      <c r="D27" s="17"/>
      <c r="E27" s="17"/>
    </row>
    <row r="28" spans="1:5" ht="69.75" customHeight="1" x14ac:dyDescent="0.2">
      <c r="A28" s="18" t="s">
        <v>136</v>
      </c>
      <c r="B28" s="18"/>
      <c r="C28" s="18"/>
      <c r="D28" s="18"/>
      <c r="E28" s="18"/>
    </row>
    <row r="29" spans="1:5" ht="88" customHeight="1" x14ac:dyDescent="0.2">
      <c r="A29" s="21" t="s">
        <v>236</v>
      </c>
      <c r="B29" s="21"/>
      <c r="C29" s="21"/>
      <c r="D29" s="21"/>
      <c r="E29" s="21"/>
    </row>
    <row r="30" spans="1:5" ht="16" x14ac:dyDescent="0.2">
      <c r="A30" s="3" t="s">
        <v>137</v>
      </c>
      <c r="B30" s="4"/>
      <c r="C30" s="4"/>
      <c r="D30" s="4"/>
      <c r="E30" s="4"/>
    </row>
    <row r="32" spans="1:5" ht="42" customHeight="1" x14ac:dyDescent="0.2">
      <c r="A32" s="2" t="s">
        <v>138</v>
      </c>
      <c r="B32" s="17" t="s">
        <v>139</v>
      </c>
      <c r="C32" s="17"/>
      <c r="D32" s="17"/>
      <c r="E32" s="17"/>
    </row>
    <row r="33" spans="1:5" ht="16" x14ac:dyDescent="0.2">
      <c r="A33" s="3" t="s">
        <v>66</v>
      </c>
      <c r="B33" s="4"/>
      <c r="C33" s="4"/>
      <c r="D33" s="4"/>
      <c r="E33" s="4"/>
    </row>
    <row r="35" spans="1:5" ht="18" customHeight="1" x14ac:dyDescent="0.2">
      <c r="A35" s="2" t="s">
        <v>67</v>
      </c>
      <c r="B35" s="17" t="s">
        <v>140</v>
      </c>
      <c r="C35" s="17"/>
      <c r="D35" s="17"/>
      <c r="E35" s="17"/>
    </row>
    <row r="36" spans="1:5" ht="55.5" customHeight="1" x14ac:dyDescent="0.2">
      <c r="A36" s="2" t="s">
        <v>69</v>
      </c>
      <c r="B36" s="17" t="s">
        <v>141</v>
      </c>
      <c r="C36" s="17"/>
      <c r="D36" s="17"/>
      <c r="E36" s="17"/>
    </row>
    <row r="38" spans="1:5" ht="18" customHeight="1" x14ac:dyDescent="0.2">
      <c r="A38" s="2" t="s">
        <v>67</v>
      </c>
      <c r="B38" s="17" t="s">
        <v>142</v>
      </c>
      <c r="C38" s="17"/>
      <c r="D38" s="17"/>
      <c r="E38" s="17"/>
    </row>
    <row r="39" spans="1:5" ht="42" customHeight="1" x14ac:dyDescent="0.2">
      <c r="A39" s="2" t="s">
        <v>69</v>
      </c>
      <c r="B39" s="17" t="s">
        <v>143</v>
      </c>
      <c r="C39" s="17"/>
      <c r="D39" s="17"/>
      <c r="E39" s="17"/>
    </row>
    <row r="41" spans="1:5" ht="18" customHeight="1" x14ac:dyDescent="0.2">
      <c r="A41" s="2" t="s">
        <v>67</v>
      </c>
      <c r="B41" s="17" t="s">
        <v>144</v>
      </c>
      <c r="C41" s="17"/>
      <c r="D41" s="17"/>
      <c r="E41" s="17"/>
    </row>
    <row r="42" spans="1:5" ht="42" customHeight="1" x14ac:dyDescent="0.2">
      <c r="A42" s="2" t="s">
        <v>69</v>
      </c>
      <c r="B42" s="17" t="s">
        <v>145</v>
      </c>
      <c r="C42" s="17"/>
      <c r="D42" s="17"/>
      <c r="E42" s="17"/>
    </row>
    <row r="44" spans="1:5" ht="18" customHeight="1" x14ac:dyDescent="0.2">
      <c r="A44" s="2" t="s">
        <v>67</v>
      </c>
      <c r="B44" s="17" t="s">
        <v>146</v>
      </c>
      <c r="C44" s="17"/>
      <c r="D44" s="17"/>
      <c r="E44" s="17"/>
    </row>
    <row r="45" spans="1:5" ht="42" customHeight="1" x14ac:dyDescent="0.2">
      <c r="A45" s="2" t="s">
        <v>69</v>
      </c>
      <c r="B45" s="17" t="s">
        <v>147</v>
      </c>
      <c r="C45" s="17"/>
      <c r="D45" s="17"/>
      <c r="E45" s="17"/>
    </row>
    <row r="47" spans="1:5" ht="18" customHeight="1" x14ac:dyDescent="0.2">
      <c r="A47" s="2" t="s">
        <v>67</v>
      </c>
      <c r="B47" s="17" t="s">
        <v>148</v>
      </c>
      <c r="C47" s="17"/>
      <c r="D47" s="17"/>
      <c r="E47" s="17"/>
    </row>
    <row r="48" spans="1:5" ht="47" customHeight="1" x14ac:dyDescent="0.2">
      <c r="A48" s="2" t="s">
        <v>69</v>
      </c>
      <c r="B48" s="17" t="s">
        <v>149</v>
      </c>
      <c r="C48" s="17"/>
      <c r="D48" s="17"/>
      <c r="E48" s="17"/>
    </row>
    <row r="50" spans="1:5" ht="27.75" customHeight="1" x14ac:dyDescent="0.2">
      <c r="A50" s="18"/>
      <c r="B50" s="18"/>
      <c r="C50" s="18"/>
      <c r="D50" s="18"/>
      <c r="E50" s="18"/>
    </row>
    <row r="52" spans="1:5" ht="16" x14ac:dyDescent="0.2">
      <c r="A52" s="3" t="s">
        <v>79</v>
      </c>
      <c r="B52" s="4"/>
      <c r="C52" s="4"/>
      <c r="D52" s="4"/>
      <c r="E52" s="4"/>
    </row>
    <row r="54" spans="1:5" ht="42" customHeight="1" x14ac:dyDescent="0.2">
      <c r="A54" s="2" t="s">
        <v>80</v>
      </c>
      <c r="B54" s="17" t="s">
        <v>150</v>
      </c>
      <c r="C54" s="17"/>
      <c r="D54" s="17"/>
      <c r="E54" s="17"/>
    </row>
    <row r="55" spans="1:5" ht="18" customHeight="1" x14ac:dyDescent="0.2">
      <c r="A55" s="18"/>
      <c r="B55" s="18"/>
      <c r="C55" s="18"/>
      <c r="D55" s="18"/>
      <c r="E55" s="18"/>
    </row>
  </sheetData>
  <mergeCells count="28">
    <mergeCell ref="B3:E3"/>
    <mergeCell ref="B4:E4"/>
    <mergeCell ref="B5:E5"/>
    <mergeCell ref="B6:E6"/>
    <mergeCell ref="A7:E7"/>
    <mergeCell ref="B9:E9"/>
    <mergeCell ref="B12:E12"/>
    <mergeCell ref="B13:E13"/>
    <mergeCell ref="B14:E14"/>
    <mergeCell ref="B17:E17"/>
    <mergeCell ref="B26:E26"/>
    <mergeCell ref="B27:E27"/>
    <mergeCell ref="A28:E28"/>
    <mergeCell ref="B32:E32"/>
    <mergeCell ref="B35:E35"/>
    <mergeCell ref="B54:E54"/>
    <mergeCell ref="A55:E55"/>
    <mergeCell ref="A29:E29"/>
    <mergeCell ref="B44:E44"/>
    <mergeCell ref="B45:E45"/>
    <mergeCell ref="B47:E47"/>
    <mergeCell ref="B48:E48"/>
    <mergeCell ref="A50:E50"/>
    <mergeCell ref="B36:E36"/>
    <mergeCell ref="B38:E38"/>
    <mergeCell ref="B39:E39"/>
    <mergeCell ref="B41:E41"/>
    <mergeCell ref="B42:E42"/>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1"/>
  <sheetViews>
    <sheetView zoomScaleNormal="100" workbookViewId="0">
      <selection activeCell="B12" sqref="B12:E12"/>
    </sheetView>
  </sheetViews>
  <sheetFormatPr baseColWidth="10" defaultColWidth="8.6640625" defaultRowHeight="15" x14ac:dyDescent="0.2"/>
  <cols>
    <col min="1" max="1" width="22" customWidth="1"/>
    <col min="2" max="5" width="20" customWidth="1"/>
  </cols>
  <sheetData>
    <row r="1" spans="1:5" ht="18" x14ac:dyDescent="0.2">
      <c r="A1" s="12" t="s">
        <v>151</v>
      </c>
    </row>
    <row r="3" spans="1:5" ht="42" customHeight="1" x14ac:dyDescent="0.2">
      <c r="A3" s="24" t="s">
        <v>237</v>
      </c>
      <c r="B3" s="24"/>
      <c r="C3" s="24"/>
      <c r="D3" s="24"/>
      <c r="E3" s="24"/>
    </row>
    <row r="5" spans="1:5" ht="27.75" customHeight="1" x14ac:dyDescent="0.2">
      <c r="A5" s="13" t="s">
        <v>83</v>
      </c>
      <c r="B5" s="17" t="s">
        <v>152</v>
      </c>
      <c r="C5" s="17"/>
      <c r="D5" s="17"/>
      <c r="E5" s="17"/>
    </row>
    <row r="6" spans="1:5" ht="27.75" customHeight="1" x14ac:dyDescent="0.2">
      <c r="A6" s="13" t="s">
        <v>39</v>
      </c>
      <c r="B6" s="17" t="s">
        <v>153</v>
      </c>
      <c r="C6" s="17"/>
      <c r="D6" s="17"/>
      <c r="E6" s="17"/>
    </row>
    <row r="7" spans="1:5" ht="42" customHeight="1" x14ac:dyDescent="0.2">
      <c r="A7" s="13" t="s">
        <v>86</v>
      </c>
      <c r="B7" s="17" t="s">
        <v>154</v>
      </c>
      <c r="C7" s="17"/>
      <c r="D7" s="17"/>
      <c r="E7" s="17"/>
    </row>
    <row r="8" spans="1:5" ht="16" x14ac:dyDescent="0.2">
      <c r="A8" s="14" t="s">
        <v>52</v>
      </c>
      <c r="B8" s="4"/>
      <c r="C8" s="4"/>
      <c r="D8" s="4"/>
      <c r="E8" s="4"/>
    </row>
    <row r="10" spans="1:5" ht="69" customHeight="1" x14ac:dyDescent="0.2">
      <c r="A10" s="13" t="s">
        <v>53</v>
      </c>
      <c r="B10" s="17" t="s">
        <v>155</v>
      </c>
      <c r="C10" s="17"/>
      <c r="D10" s="17"/>
      <c r="E10" s="17"/>
    </row>
    <row r="11" spans="1:5" ht="18" customHeight="1" x14ac:dyDescent="0.2">
      <c r="A11" s="13" t="s">
        <v>55</v>
      </c>
      <c r="B11" s="20" t="s">
        <v>242</v>
      </c>
      <c r="C11" s="20"/>
      <c r="D11" s="20"/>
      <c r="E11" s="20"/>
    </row>
    <row r="12" spans="1:5" ht="18" customHeight="1" x14ac:dyDescent="0.2">
      <c r="A12" s="13" t="s">
        <v>56</v>
      </c>
      <c r="B12" s="20" t="s">
        <v>242</v>
      </c>
      <c r="C12" s="20"/>
      <c r="D12" s="20"/>
      <c r="E12" s="20"/>
    </row>
    <row r="13" spans="1:5" ht="16" x14ac:dyDescent="0.2">
      <c r="A13" s="14" t="s">
        <v>156</v>
      </c>
      <c r="B13" s="4"/>
      <c r="C13" s="4"/>
      <c r="D13" s="4"/>
      <c r="E13" s="4"/>
    </row>
    <row r="15" spans="1:5" ht="18" customHeight="1" x14ac:dyDescent="0.2">
      <c r="A15" s="13" t="s">
        <v>157</v>
      </c>
      <c r="B15" s="17">
        <v>5000</v>
      </c>
      <c r="C15" s="17"/>
      <c r="D15" s="17"/>
      <c r="E15" s="17"/>
    </row>
    <row r="16" spans="1:5" ht="18" customHeight="1" x14ac:dyDescent="0.2">
      <c r="A16" s="13" t="s">
        <v>158</v>
      </c>
      <c r="B16" s="17">
        <v>1.0000000000000001E-9</v>
      </c>
      <c r="C16" s="17"/>
      <c r="D16" s="17"/>
      <c r="E16" s="17"/>
    </row>
    <row r="17" spans="1:5" ht="18" customHeight="1" x14ac:dyDescent="0.2">
      <c r="A17" s="13" t="s">
        <v>159</v>
      </c>
      <c r="B17" s="17">
        <v>5065</v>
      </c>
      <c r="C17" s="17"/>
      <c r="D17" s="17"/>
      <c r="E17" s="17"/>
    </row>
    <row r="18" spans="1:5" ht="18" customHeight="1" x14ac:dyDescent="0.2">
      <c r="A18" s="13" t="s">
        <v>160</v>
      </c>
      <c r="B18" s="17">
        <v>8.2800000000000004E-10</v>
      </c>
      <c r="C18" s="17"/>
      <c r="D18" s="17"/>
      <c r="E18" s="17"/>
    </row>
    <row r="19" spans="1:5" ht="18" customHeight="1" x14ac:dyDescent="0.2">
      <c r="A19" s="13" t="s">
        <v>161</v>
      </c>
      <c r="B19" s="17">
        <v>1</v>
      </c>
      <c r="C19" s="17"/>
      <c r="D19" s="17"/>
      <c r="E19" s="17"/>
    </row>
    <row r="20" spans="1:5" ht="42" customHeight="1" x14ac:dyDescent="0.2">
      <c r="A20" s="22" t="s">
        <v>162</v>
      </c>
      <c r="B20" s="22"/>
      <c r="C20" s="22"/>
      <c r="D20" s="22"/>
      <c r="E20" s="22"/>
    </row>
    <row r="22" spans="1:5" ht="18" customHeight="1" x14ac:dyDescent="0.2">
      <c r="A22" s="13" t="s">
        <v>163</v>
      </c>
      <c r="B22" s="17">
        <f>B15*B16</f>
        <v>5.0000000000000004E-6</v>
      </c>
      <c r="C22" s="17"/>
      <c r="D22" s="17"/>
      <c r="E22" s="17"/>
    </row>
    <row r="23" spans="1:5" ht="18" customHeight="1" x14ac:dyDescent="0.2">
      <c r="A23" s="13" t="s">
        <v>164</v>
      </c>
      <c r="B23" s="17">
        <f>B17*B18</f>
        <v>4.1938200000000001E-6</v>
      </c>
      <c r="C23" s="17"/>
      <c r="D23" s="17"/>
      <c r="E23" s="17"/>
    </row>
    <row r="25" spans="1:5" ht="16" x14ac:dyDescent="0.2">
      <c r="A25" s="14" t="s">
        <v>98</v>
      </c>
      <c r="B25" s="4"/>
      <c r="C25" s="4"/>
      <c r="D25" s="4"/>
      <c r="E25" s="4"/>
    </row>
    <row r="27" spans="1:5" ht="18" customHeight="1" x14ac:dyDescent="0.2">
      <c r="A27" s="13" t="s">
        <v>165</v>
      </c>
      <c r="B27" s="23">
        <v>4.1999999999999996E-6</v>
      </c>
      <c r="C27" s="23"/>
      <c r="D27" s="23"/>
      <c r="E27" s="23"/>
    </row>
    <row r="28" spans="1:5" ht="18" customHeight="1" x14ac:dyDescent="0.2">
      <c r="A28" s="13" t="s">
        <v>166</v>
      </c>
      <c r="B28" s="23">
        <v>4.1999999999999996E-6</v>
      </c>
      <c r="C28" s="23"/>
      <c r="D28" s="23"/>
      <c r="E28" s="23"/>
    </row>
    <row r="30" spans="1:5" ht="16" x14ac:dyDescent="0.2">
      <c r="A30" s="14" t="s">
        <v>167</v>
      </c>
      <c r="B30" s="4"/>
      <c r="C30" s="4"/>
      <c r="D30" s="4"/>
      <c r="E30" s="4"/>
    </row>
    <row r="32" spans="1:5" ht="27.75" customHeight="1" x14ac:dyDescent="0.2">
      <c r="A32" s="24" t="s">
        <v>238</v>
      </c>
      <c r="B32" s="24"/>
      <c r="C32" s="24"/>
      <c r="D32" s="24"/>
      <c r="E32" s="24"/>
    </row>
    <row r="34" spans="1:5" x14ac:dyDescent="0.2">
      <c r="A34" s="15" t="s">
        <v>168</v>
      </c>
      <c r="B34" s="15" t="s">
        <v>169</v>
      </c>
      <c r="C34" s="15" t="s">
        <v>170</v>
      </c>
      <c r="D34" s="15" t="s">
        <v>171</v>
      </c>
      <c r="E34" s="16" t="s">
        <v>239</v>
      </c>
    </row>
    <row r="35" spans="1:5" x14ac:dyDescent="0.2">
      <c r="A35" t="s">
        <v>172</v>
      </c>
      <c r="B35" s="8">
        <f>B27</f>
        <v>4.1999999999999996E-6</v>
      </c>
      <c r="C35">
        <f>B22</f>
        <v>5.0000000000000004E-6</v>
      </c>
      <c r="D35">
        <f>100*(B35-C35)/C35</f>
        <v>-16.000000000000014</v>
      </c>
      <c r="E35">
        <f>100*(B35-$B$23)/$B$23</f>
        <v>0.14735968639568436</v>
      </c>
    </row>
    <row r="36" spans="1:5" x14ac:dyDescent="0.2">
      <c r="A36" t="s">
        <v>173</v>
      </c>
      <c r="B36" s="8">
        <f>B28</f>
        <v>4.1999999999999996E-6</v>
      </c>
      <c r="C36">
        <f>B22</f>
        <v>5.0000000000000004E-6</v>
      </c>
      <c r="D36">
        <f>100*(B36-C36)/C36</f>
        <v>-16.000000000000014</v>
      </c>
      <c r="E36">
        <f>100*(B36-$B$23)/$B$23</f>
        <v>0.14735968639568436</v>
      </c>
    </row>
    <row r="38" spans="1:5" ht="16" x14ac:dyDescent="0.2">
      <c r="A38" s="14" t="s">
        <v>174</v>
      </c>
      <c r="B38" s="4"/>
      <c r="C38" s="4"/>
      <c r="D38" s="4"/>
      <c r="E38" s="4"/>
    </row>
    <row r="40" spans="1:5" ht="27.75" customHeight="1" x14ac:dyDescent="0.2">
      <c r="A40" s="13" t="s">
        <v>138</v>
      </c>
      <c r="B40" s="17" t="s">
        <v>240</v>
      </c>
      <c r="C40" s="17"/>
      <c r="D40" s="17"/>
      <c r="E40" s="17"/>
    </row>
    <row r="41" spans="1:5" ht="16" x14ac:dyDescent="0.2">
      <c r="A41" s="14" t="s">
        <v>66</v>
      </c>
      <c r="B41" s="4"/>
      <c r="C41" s="4"/>
      <c r="D41" s="4"/>
      <c r="E41" s="4"/>
    </row>
    <row r="43" spans="1:5" ht="18" customHeight="1" x14ac:dyDescent="0.2">
      <c r="A43" s="13" t="s">
        <v>67</v>
      </c>
      <c r="B43" s="17" t="s">
        <v>175</v>
      </c>
      <c r="C43" s="17"/>
      <c r="D43" s="17"/>
      <c r="E43" s="17"/>
    </row>
    <row r="44" spans="1:5" ht="18" customHeight="1" x14ac:dyDescent="0.2">
      <c r="A44" s="13" t="s">
        <v>69</v>
      </c>
      <c r="B44" s="17" t="s">
        <v>176</v>
      </c>
      <c r="C44" s="17"/>
      <c r="D44" s="17"/>
      <c r="E44" s="17"/>
    </row>
    <row r="46" spans="1:5" ht="18" customHeight="1" x14ac:dyDescent="0.2">
      <c r="A46" s="13" t="s">
        <v>67</v>
      </c>
      <c r="B46" s="17" t="s">
        <v>177</v>
      </c>
      <c r="C46" s="17"/>
      <c r="D46" s="17"/>
      <c r="E46" s="17"/>
    </row>
    <row r="47" spans="1:5" ht="18" customHeight="1" x14ac:dyDescent="0.2">
      <c r="A47" s="13" t="s">
        <v>69</v>
      </c>
      <c r="B47" s="17" t="s">
        <v>178</v>
      </c>
      <c r="C47" s="17"/>
      <c r="D47" s="17"/>
      <c r="E47" s="17"/>
    </row>
    <row r="49" spans="1:5" ht="18" customHeight="1" x14ac:dyDescent="0.2">
      <c r="A49" s="13" t="s">
        <v>67</v>
      </c>
      <c r="B49" s="17" t="s">
        <v>179</v>
      </c>
      <c r="C49" s="17"/>
      <c r="D49" s="17"/>
      <c r="E49" s="17"/>
    </row>
    <row r="50" spans="1:5" ht="27.75" customHeight="1" x14ac:dyDescent="0.2">
      <c r="A50" s="13" t="s">
        <v>69</v>
      </c>
      <c r="B50" s="17" t="s">
        <v>180</v>
      </c>
      <c r="C50" s="17"/>
      <c r="D50" s="17"/>
      <c r="E50" s="17"/>
    </row>
    <row r="52" spans="1:5" ht="18" customHeight="1" x14ac:dyDescent="0.2">
      <c r="A52" s="13" t="s">
        <v>67</v>
      </c>
      <c r="B52" s="17" t="s">
        <v>181</v>
      </c>
      <c r="C52" s="17"/>
      <c r="D52" s="17"/>
      <c r="E52" s="17"/>
    </row>
    <row r="53" spans="1:5" ht="42" customHeight="1" x14ac:dyDescent="0.2">
      <c r="A53" s="13" t="s">
        <v>69</v>
      </c>
      <c r="B53" s="17" t="s">
        <v>182</v>
      </c>
      <c r="C53" s="17"/>
      <c r="D53" s="17"/>
      <c r="E53" s="17"/>
    </row>
    <row r="55" spans="1:5" ht="18" customHeight="1" x14ac:dyDescent="0.2">
      <c r="A55" s="13" t="s">
        <v>67</v>
      </c>
      <c r="B55" s="17" t="s">
        <v>183</v>
      </c>
      <c r="C55" s="17"/>
      <c r="D55" s="17"/>
      <c r="E55" s="17"/>
    </row>
    <row r="56" spans="1:5" ht="55.5" customHeight="1" x14ac:dyDescent="0.2">
      <c r="A56" s="13" t="s">
        <v>69</v>
      </c>
      <c r="B56" s="17" t="s">
        <v>184</v>
      </c>
      <c r="C56" s="17"/>
      <c r="D56" s="17"/>
      <c r="E56" s="17"/>
    </row>
    <row r="58" spans="1:5" ht="16" x14ac:dyDescent="0.2">
      <c r="A58" s="14" t="s">
        <v>79</v>
      </c>
      <c r="B58" s="4"/>
      <c r="C58" s="4"/>
      <c r="D58" s="4"/>
      <c r="E58" s="4"/>
    </row>
    <row r="60" spans="1:5" ht="27.75" customHeight="1" x14ac:dyDescent="0.2">
      <c r="A60" s="13" t="s">
        <v>80</v>
      </c>
      <c r="B60" s="17" t="s">
        <v>185</v>
      </c>
      <c r="C60" s="17"/>
      <c r="D60" s="17"/>
      <c r="E60" s="17"/>
    </row>
    <row r="61" spans="1:5" ht="27.75" customHeight="1" x14ac:dyDescent="0.2">
      <c r="A61" s="22" t="s">
        <v>186</v>
      </c>
      <c r="B61" s="22"/>
      <c r="C61" s="22"/>
      <c r="D61" s="22"/>
      <c r="E61" s="22"/>
    </row>
  </sheetData>
  <mergeCells count="31">
    <mergeCell ref="A3:E3"/>
    <mergeCell ref="B5:E5"/>
    <mergeCell ref="B6:E6"/>
    <mergeCell ref="B7:E7"/>
    <mergeCell ref="B10:E10"/>
    <mergeCell ref="B11:E11"/>
    <mergeCell ref="B12:E12"/>
    <mergeCell ref="B15:E15"/>
    <mergeCell ref="B16:E16"/>
    <mergeCell ref="B17:E17"/>
    <mergeCell ref="B18:E18"/>
    <mergeCell ref="B19:E19"/>
    <mergeCell ref="A20:E20"/>
    <mergeCell ref="B22:E22"/>
    <mergeCell ref="B23:E23"/>
    <mergeCell ref="B27:E27"/>
    <mergeCell ref="B28:E28"/>
    <mergeCell ref="A32:E32"/>
    <mergeCell ref="B40:E40"/>
    <mergeCell ref="B43:E43"/>
    <mergeCell ref="B44:E44"/>
    <mergeCell ref="B46:E46"/>
    <mergeCell ref="B47:E47"/>
    <mergeCell ref="B49:E49"/>
    <mergeCell ref="B50:E50"/>
    <mergeCell ref="A61:E61"/>
    <mergeCell ref="B52:E52"/>
    <mergeCell ref="B53:E53"/>
    <mergeCell ref="B55:E55"/>
    <mergeCell ref="B56:E56"/>
    <mergeCell ref="B60:E6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53"/>
  <sheetViews>
    <sheetView tabSelected="1" topLeftCell="A3" zoomScaleNormal="100" workbookViewId="0">
      <selection activeCell="I18" sqref="I18:K21"/>
    </sheetView>
  </sheetViews>
  <sheetFormatPr baseColWidth="10" defaultColWidth="8.6640625" defaultRowHeight="15" x14ac:dyDescent="0.2"/>
  <cols>
    <col min="1" max="1" width="22" customWidth="1"/>
    <col min="2" max="5" width="20" customWidth="1"/>
  </cols>
  <sheetData>
    <row r="1" spans="1:18" ht="18" x14ac:dyDescent="0.2">
      <c r="A1" s="1" t="s">
        <v>187</v>
      </c>
    </row>
    <row r="3" spans="1:18" ht="27.75" customHeight="1" x14ac:dyDescent="0.2">
      <c r="A3" s="2" t="s">
        <v>39</v>
      </c>
      <c r="B3" s="17" t="s">
        <v>188</v>
      </c>
      <c r="C3" s="17"/>
      <c r="D3" s="17"/>
      <c r="E3" s="17"/>
    </row>
    <row r="4" spans="1:18" ht="57" customHeight="1" x14ac:dyDescent="0.2">
      <c r="A4" s="2" t="s">
        <v>189</v>
      </c>
      <c r="B4" s="17" t="s">
        <v>190</v>
      </c>
      <c r="C4" s="17"/>
      <c r="D4" s="17"/>
      <c r="E4" s="17"/>
      <c r="F4" s="26"/>
      <c r="G4" s="26"/>
      <c r="H4" s="26"/>
      <c r="I4" s="26"/>
      <c r="J4" s="26"/>
      <c r="K4" s="26"/>
      <c r="L4" s="26"/>
      <c r="M4" s="26"/>
      <c r="N4" s="26"/>
      <c r="O4" s="26"/>
      <c r="P4" s="26"/>
      <c r="Q4" s="26"/>
      <c r="R4" s="26"/>
    </row>
    <row r="5" spans="1:18" ht="27.75" customHeight="1" x14ac:dyDescent="0.2">
      <c r="A5" s="18"/>
      <c r="B5" s="18"/>
      <c r="C5" s="18"/>
      <c r="D5" s="18"/>
      <c r="E5" s="18"/>
      <c r="F5" s="26"/>
      <c r="G5" s="26"/>
      <c r="H5" s="26"/>
      <c r="I5" s="26"/>
      <c r="J5" s="26"/>
      <c r="K5" s="26"/>
      <c r="L5" s="26"/>
      <c r="M5" s="26"/>
      <c r="N5" s="26"/>
      <c r="O5" s="26"/>
      <c r="P5" s="26"/>
      <c r="Q5" s="26"/>
      <c r="R5" s="26"/>
    </row>
    <row r="6" spans="1:18" x14ac:dyDescent="0.2">
      <c r="F6" s="26"/>
      <c r="G6" s="26"/>
      <c r="H6" s="26"/>
      <c r="I6" s="26"/>
      <c r="J6" s="26"/>
      <c r="K6" s="26"/>
      <c r="L6" s="26"/>
      <c r="M6" s="26"/>
      <c r="N6" s="26"/>
      <c r="O6" s="26"/>
      <c r="P6" s="26"/>
      <c r="Q6" s="26"/>
      <c r="R6" s="26"/>
    </row>
    <row r="7" spans="1:18" ht="42" customHeight="1" x14ac:dyDescent="0.2">
      <c r="A7" s="2" t="s">
        <v>86</v>
      </c>
      <c r="B7" s="17" t="s">
        <v>191</v>
      </c>
      <c r="C7" s="17"/>
      <c r="D7" s="17"/>
      <c r="E7" s="17"/>
      <c r="F7" s="26"/>
      <c r="G7" s="26"/>
      <c r="H7" s="26"/>
      <c r="I7" s="26"/>
      <c r="J7" s="26"/>
      <c r="K7" s="26"/>
      <c r="L7" s="26"/>
      <c r="M7" s="26"/>
      <c r="N7" s="26"/>
      <c r="O7" s="26"/>
      <c r="P7" s="26"/>
      <c r="Q7" s="26"/>
      <c r="R7" s="26"/>
    </row>
    <row r="8" spans="1:18" ht="16" x14ac:dyDescent="0.2">
      <c r="A8" s="3" t="s">
        <v>52</v>
      </c>
      <c r="B8" s="4"/>
      <c r="C8" s="4"/>
      <c r="D8" s="4"/>
      <c r="E8" s="4"/>
      <c r="F8" s="26"/>
      <c r="G8" s="26"/>
      <c r="H8" s="26"/>
      <c r="I8" s="26"/>
      <c r="J8" s="26"/>
      <c r="K8" s="26"/>
      <c r="L8" s="26"/>
      <c r="M8" s="26"/>
      <c r="N8" s="26"/>
      <c r="O8" s="26"/>
      <c r="P8" s="26"/>
      <c r="Q8" s="26"/>
      <c r="R8" s="26"/>
    </row>
    <row r="10" spans="1:18" ht="55.5" customHeight="1" x14ac:dyDescent="0.2">
      <c r="A10" s="2" t="s">
        <v>53</v>
      </c>
      <c r="B10" s="17" t="s">
        <v>192</v>
      </c>
      <c r="C10" s="17"/>
      <c r="D10" s="17"/>
      <c r="E10" s="17"/>
    </row>
    <row r="11" spans="1:18" ht="18" customHeight="1" x14ac:dyDescent="0.2">
      <c r="A11" s="2" t="s">
        <v>55</v>
      </c>
      <c r="B11" s="20" t="s">
        <v>242</v>
      </c>
      <c r="C11" s="20"/>
      <c r="D11" s="20"/>
      <c r="E11" s="20"/>
    </row>
    <row r="12" spans="1:18" ht="18" customHeight="1" x14ac:dyDescent="0.2">
      <c r="A12" s="2" t="s">
        <v>56</v>
      </c>
      <c r="B12" s="20" t="s">
        <v>243</v>
      </c>
      <c r="C12" s="20"/>
      <c r="D12" s="20"/>
      <c r="E12" s="20"/>
    </row>
    <row r="13" spans="1:18" ht="16" x14ac:dyDescent="0.2">
      <c r="A13" s="3" t="s">
        <v>98</v>
      </c>
      <c r="B13" s="4"/>
      <c r="C13" s="4"/>
      <c r="D13" s="4"/>
      <c r="E13" s="4"/>
    </row>
    <row r="15" spans="1:18" ht="84" customHeight="1" x14ac:dyDescent="0.2">
      <c r="A15" s="18"/>
      <c r="B15" s="18"/>
      <c r="C15" s="18"/>
      <c r="D15" s="18"/>
      <c r="E15" s="18"/>
    </row>
    <row r="17" spans="1:6" x14ac:dyDescent="0.2">
      <c r="A17" s="5" t="s">
        <v>193</v>
      </c>
      <c r="B17" s="5" t="s">
        <v>194</v>
      </c>
      <c r="C17" s="5" t="s">
        <v>195</v>
      </c>
      <c r="D17" s="5" t="s">
        <v>196</v>
      </c>
      <c r="E17" s="5" t="s">
        <v>197</v>
      </c>
      <c r="F17" s="9" t="s">
        <v>198</v>
      </c>
    </row>
    <row r="18" spans="1:6" x14ac:dyDescent="0.2">
      <c r="A18" s="6" t="s">
        <v>199</v>
      </c>
      <c r="B18" s="6">
        <v>5.056</v>
      </c>
      <c r="C18" s="7">
        <v>994</v>
      </c>
      <c r="D18" s="10">
        <v>10350</v>
      </c>
      <c r="E18" s="7">
        <v>995</v>
      </c>
      <c r="F18" s="7">
        <v>7.0000000000000001E-3</v>
      </c>
    </row>
    <row r="19" spans="1:6" x14ac:dyDescent="0.2">
      <c r="A19" s="6" t="s">
        <v>200</v>
      </c>
      <c r="B19" s="6">
        <v>5.056</v>
      </c>
      <c r="C19" s="7">
        <v>994</v>
      </c>
      <c r="D19" s="10">
        <v>10350</v>
      </c>
      <c r="E19" s="7">
        <v>995</v>
      </c>
      <c r="F19" s="7">
        <f>0.103</f>
        <v>0.10299999999999999</v>
      </c>
    </row>
    <row r="20" spans="1:6" ht="50" customHeight="1" x14ac:dyDescent="0.2">
      <c r="A20" s="13" t="s">
        <v>201</v>
      </c>
      <c r="B20" s="20">
        <v>10710</v>
      </c>
      <c r="C20" s="20"/>
      <c r="D20" s="20"/>
      <c r="E20" s="20"/>
    </row>
    <row r="22" spans="1:6" ht="16" x14ac:dyDescent="0.2">
      <c r="A22" s="3" t="s">
        <v>202</v>
      </c>
      <c r="B22" s="4"/>
      <c r="C22" s="4"/>
      <c r="D22" s="4"/>
      <c r="E22" s="4"/>
    </row>
    <row r="24" spans="1:6" x14ac:dyDescent="0.2">
      <c r="A24" s="5" t="s">
        <v>193</v>
      </c>
      <c r="B24" s="15" t="s">
        <v>203</v>
      </c>
      <c r="C24" s="15" t="s">
        <v>204</v>
      </c>
    </row>
    <row r="25" spans="1:6" x14ac:dyDescent="0.2">
      <c r="A25" s="6" t="s">
        <v>199</v>
      </c>
      <c r="B25" s="6">
        <f>D18/(C18+D18)-F18/B18</f>
        <v>0.91099209307100393</v>
      </c>
      <c r="C25" s="11">
        <f>B25*E18/(1-B25)</f>
        <v>10183.782136667223</v>
      </c>
      <c r="D25" s="27">
        <f>(D18*E18)/C18</f>
        <v>10360.412474849094</v>
      </c>
      <c r="E25">
        <f>C25*10^-3</f>
        <v>10.183782136667224</v>
      </c>
    </row>
    <row r="26" spans="1:6" x14ac:dyDescent="0.2">
      <c r="A26" s="6" t="s">
        <v>200</v>
      </c>
      <c r="B26" s="6">
        <f>D19/(C19+D19)-F19/B19</f>
        <v>0.89200475129885204</v>
      </c>
      <c r="C26" s="6">
        <f>B26*E19/(1-B26)</f>
        <v>8218.3682913535758</v>
      </c>
      <c r="D26" s="27">
        <f>(D19*E19)/C19</f>
        <v>10360.412474849094</v>
      </c>
      <c r="E26">
        <f>C26*10^-3</f>
        <v>8.2183682913535758</v>
      </c>
    </row>
    <row r="28" spans="1:6" ht="42" customHeight="1" x14ac:dyDescent="0.2">
      <c r="A28" s="18" t="s">
        <v>205</v>
      </c>
      <c r="B28" s="18"/>
      <c r="C28" s="18"/>
      <c r="D28" s="18"/>
      <c r="E28" s="18"/>
    </row>
    <row r="30" spans="1:6" ht="16" x14ac:dyDescent="0.2">
      <c r="A30" s="3" t="s">
        <v>206</v>
      </c>
      <c r="B30" s="4"/>
      <c r="C30" s="4"/>
      <c r="D30" s="4"/>
      <c r="E30" s="4"/>
    </row>
    <row r="32" spans="1:6" ht="75" customHeight="1" x14ac:dyDescent="0.2">
      <c r="A32" s="2" t="s">
        <v>138</v>
      </c>
      <c r="B32" s="17" t="s">
        <v>207</v>
      </c>
      <c r="C32" s="17"/>
      <c r="D32" s="17"/>
      <c r="E32" s="17"/>
    </row>
    <row r="33" spans="1:5" ht="16" x14ac:dyDescent="0.2">
      <c r="A33" s="3" t="s">
        <v>66</v>
      </c>
      <c r="B33" s="4"/>
      <c r="C33" s="4"/>
      <c r="D33" s="4"/>
      <c r="E33" s="4"/>
    </row>
    <row r="35" spans="1:5" ht="27.75" customHeight="1" x14ac:dyDescent="0.2">
      <c r="A35" s="2" t="s">
        <v>67</v>
      </c>
      <c r="B35" s="17" t="s">
        <v>208</v>
      </c>
      <c r="C35" s="17"/>
      <c r="D35" s="17"/>
      <c r="E35" s="17"/>
    </row>
    <row r="36" spans="1:5" ht="55.5" customHeight="1" x14ac:dyDescent="0.2">
      <c r="A36" s="2" t="s">
        <v>69</v>
      </c>
      <c r="B36" s="17" t="s">
        <v>209</v>
      </c>
      <c r="C36" s="17"/>
      <c r="D36" s="17"/>
      <c r="E36" s="17"/>
    </row>
    <row r="38" spans="1:5" ht="18" customHeight="1" x14ac:dyDescent="0.2">
      <c r="A38" s="2" t="s">
        <v>67</v>
      </c>
      <c r="B38" s="17" t="s">
        <v>210</v>
      </c>
      <c r="C38" s="17"/>
      <c r="D38" s="17"/>
      <c r="E38" s="17"/>
    </row>
    <row r="39" spans="1:5" ht="18" customHeight="1" x14ac:dyDescent="0.2">
      <c r="A39" s="2" t="s">
        <v>69</v>
      </c>
      <c r="B39" s="17" t="s">
        <v>211</v>
      </c>
      <c r="C39" s="17"/>
      <c r="D39" s="17"/>
      <c r="E39" s="17"/>
    </row>
    <row r="41" spans="1:5" ht="18" customHeight="1" x14ac:dyDescent="0.2">
      <c r="A41" s="2" t="s">
        <v>67</v>
      </c>
      <c r="B41" s="17" t="s">
        <v>212</v>
      </c>
      <c r="C41" s="17"/>
      <c r="D41" s="17"/>
      <c r="E41" s="17"/>
    </row>
    <row r="42" spans="1:5" ht="27.75" customHeight="1" x14ac:dyDescent="0.2">
      <c r="A42" s="2" t="s">
        <v>69</v>
      </c>
      <c r="B42" s="17" t="s">
        <v>213</v>
      </c>
      <c r="C42" s="17"/>
      <c r="D42" s="17"/>
      <c r="E42" s="17"/>
    </row>
    <row r="44" spans="1:5" ht="18" customHeight="1" x14ac:dyDescent="0.2">
      <c r="A44" s="2" t="s">
        <v>67</v>
      </c>
      <c r="B44" s="17" t="s">
        <v>214</v>
      </c>
      <c r="C44" s="17"/>
      <c r="D44" s="17"/>
      <c r="E44" s="17"/>
    </row>
    <row r="45" spans="1:5" ht="27.75" customHeight="1" x14ac:dyDescent="0.2">
      <c r="A45" s="2" t="s">
        <v>69</v>
      </c>
      <c r="B45" s="17" t="s">
        <v>215</v>
      </c>
      <c r="C45" s="17"/>
      <c r="D45" s="17"/>
      <c r="E45" s="17"/>
    </row>
    <row r="47" spans="1:5" ht="18" customHeight="1" x14ac:dyDescent="0.2">
      <c r="A47" s="2" t="s">
        <v>67</v>
      </c>
      <c r="B47" s="17" t="s">
        <v>216</v>
      </c>
      <c r="C47" s="17"/>
      <c r="D47" s="17"/>
      <c r="E47" s="17"/>
    </row>
    <row r="48" spans="1:5" ht="69.75" customHeight="1" x14ac:dyDescent="0.2">
      <c r="A48" s="2" t="s">
        <v>69</v>
      </c>
      <c r="B48" s="25" t="s">
        <v>241</v>
      </c>
      <c r="C48" s="25"/>
      <c r="D48" s="25"/>
      <c r="E48" s="25"/>
    </row>
    <row r="50" spans="1:5" ht="16" x14ac:dyDescent="0.2">
      <c r="A50" s="3" t="s">
        <v>79</v>
      </c>
      <c r="B50" s="4"/>
      <c r="C50" s="4"/>
      <c r="D50" s="4"/>
      <c r="E50" s="4"/>
    </row>
    <row r="52" spans="1:5" ht="38" customHeight="1" x14ac:dyDescent="0.2">
      <c r="A52" s="2" t="s">
        <v>80</v>
      </c>
      <c r="B52" s="17" t="s">
        <v>217</v>
      </c>
      <c r="C52" s="17"/>
      <c r="D52" s="17"/>
      <c r="E52" s="17"/>
    </row>
    <row r="53" spans="1:5" ht="27.75" customHeight="1" x14ac:dyDescent="0.2">
      <c r="A53" s="18"/>
      <c r="B53" s="18"/>
      <c r="C53" s="18"/>
      <c r="D53" s="18"/>
      <c r="E53" s="18"/>
    </row>
  </sheetData>
  <mergeCells count="24">
    <mergeCell ref="A15:E15"/>
    <mergeCell ref="B20:E20"/>
    <mergeCell ref="A28:E28"/>
    <mergeCell ref="B3:E3"/>
    <mergeCell ref="B4:E4"/>
    <mergeCell ref="A5:E5"/>
    <mergeCell ref="B7:E7"/>
    <mergeCell ref="B10:E10"/>
    <mergeCell ref="B48:E48"/>
    <mergeCell ref="B52:E52"/>
    <mergeCell ref="A53:E53"/>
    <mergeCell ref="F4:R8"/>
    <mergeCell ref="B41:E41"/>
    <mergeCell ref="B42:E42"/>
    <mergeCell ref="B44:E44"/>
    <mergeCell ref="B45:E45"/>
    <mergeCell ref="B47:E47"/>
    <mergeCell ref="B32:E32"/>
    <mergeCell ref="B35:E35"/>
    <mergeCell ref="B36:E36"/>
    <mergeCell ref="B38:E38"/>
    <mergeCell ref="B39:E39"/>
    <mergeCell ref="B11:E11"/>
    <mergeCell ref="B12:E1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1"/>
  <sheetViews>
    <sheetView topLeftCell="A4" zoomScaleNormal="100" workbookViewId="0"/>
  </sheetViews>
  <sheetFormatPr baseColWidth="10" defaultColWidth="8.6640625" defaultRowHeight="15" x14ac:dyDescent="0.2"/>
  <cols>
    <col min="1" max="1" width="22" customWidth="1"/>
    <col min="2" max="5" width="20" customWidth="1"/>
  </cols>
  <sheetData>
    <row r="1" spans="1:5" ht="18" x14ac:dyDescent="0.2">
      <c r="A1" s="1" t="s">
        <v>218</v>
      </c>
    </row>
    <row r="3" spans="1:5" ht="69.75" customHeight="1" x14ac:dyDescent="0.2">
      <c r="A3" s="2" t="s">
        <v>219</v>
      </c>
      <c r="B3" s="17" t="s">
        <v>220</v>
      </c>
      <c r="C3" s="17"/>
      <c r="D3" s="17"/>
      <c r="E3" s="17"/>
    </row>
    <row r="4" spans="1:5" ht="16" x14ac:dyDescent="0.2">
      <c r="A4" s="3" t="s">
        <v>221</v>
      </c>
      <c r="B4" s="4"/>
      <c r="C4" s="4"/>
      <c r="D4" s="4"/>
      <c r="E4" s="4"/>
    </row>
    <row r="6" spans="1:5" ht="69.75" customHeight="1" x14ac:dyDescent="0.2">
      <c r="A6" s="2" t="s">
        <v>67</v>
      </c>
      <c r="B6" s="17" t="s">
        <v>222</v>
      </c>
      <c r="C6" s="17"/>
      <c r="D6" s="17"/>
      <c r="E6" s="17"/>
    </row>
    <row r="7" spans="1:5" ht="168" customHeight="1" x14ac:dyDescent="0.2">
      <c r="A7" s="2" t="s">
        <v>69</v>
      </c>
      <c r="B7" s="17" t="s">
        <v>223</v>
      </c>
      <c r="C7" s="17"/>
      <c r="D7" s="17"/>
      <c r="E7" s="17"/>
    </row>
    <row r="9" spans="1:5" ht="16" x14ac:dyDescent="0.2">
      <c r="A9" s="3" t="s">
        <v>224</v>
      </c>
      <c r="B9" s="4"/>
      <c r="C9" s="4"/>
      <c r="D9" s="4"/>
      <c r="E9" s="4"/>
    </row>
    <row r="11" spans="1:5" ht="18" customHeight="1" x14ac:dyDescent="0.2">
      <c r="A11" s="2" t="s">
        <v>225</v>
      </c>
      <c r="B11" s="17" t="s">
        <v>226</v>
      </c>
      <c r="C11" s="17"/>
      <c r="D11" s="17"/>
      <c r="E11" s="17"/>
    </row>
    <row r="12" spans="1:5" ht="18" customHeight="1" x14ac:dyDescent="0.2">
      <c r="A12" s="2" t="s">
        <v>131</v>
      </c>
      <c r="B12" s="17">
        <v>10000000</v>
      </c>
      <c r="C12" s="17"/>
      <c r="D12" s="17"/>
      <c r="E12" s="17"/>
    </row>
    <row r="13" spans="1:5" ht="18" customHeight="1" x14ac:dyDescent="0.2">
      <c r="A13" s="2" t="s">
        <v>227</v>
      </c>
      <c r="B13" s="17">
        <v>10000000</v>
      </c>
      <c r="C13" s="17"/>
      <c r="D13" s="17"/>
      <c r="E13" s="17"/>
    </row>
    <row r="14" spans="1:5" ht="18" customHeight="1" x14ac:dyDescent="0.2">
      <c r="A14" s="2" t="s">
        <v>228</v>
      </c>
      <c r="B14" s="17">
        <f>(B12*B13)/(B12+B13)</f>
        <v>5000000</v>
      </c>
      <c r="C14" s="17"/>
      <c r="D14" s="17"/>
      <c r="E14" s="17"/>
    </row>
    <row r="15" spans="1:5" ht="18" customHeight="1" x14ac:dyDescent="0.2">
      <c r="A15" s="2" t="s">
        <v>229</v>
      </c>
      <c r="B15" s="17">
        <f>100*(B12/B14-1)</f>
        <v>100</v>
      </c>
      <c r="C15" s="17"/>
      <c r="D15" s="17"/>
      <c r="E15" s="17"/>
    </row>
    <row r="16" spans="1:5" ht="18" customHeight="1" x14ac:dyDescent="0.2">
      <c r="A16" s="2" t="s">
        <v>67</v>
      </c>
      <c r="B16" s="17" t="s">
        <v>230</v>
      </c>
      <c r="C16" s="17"/>
      <c r="D16" s="17"/>
      <c r="E16" s="17"/>
    </row>
    <row r="17" spans="1:5" ht="139.5" customHeight="1" x14ac:dyDescent="0.2">
      <c r="A17" s="2" t="s">
        <v>69</v>
      </c>
      <c r="B17" s="17" t="s">
        <v>231</v>
      </c>
      <c r="C17" s="17"/>
      <c r="D17" s="17"/>
      <c r="E17" s="17"/>
    </row>
    <row r="19" spans="1:5" ht="16" x14ac:dyDescent="0.2">
      <c r="A19" s="3" t="s">
        <v>232</v>
      </c>
      <c r="B19" s="4"/>
      <c r="C19" s="4"/>
      <c r="D19" s="4"/>
      <c r="E19" s="4"/>
    </row>
    <row r="21" spans="1:5" ht="126" customHeight="1" x14ac:dyDescent="0.2">
      <c r="A21" s="2" t="s">
        <v>233</v>
      </c>
      <c r="B21" s="17" t="s">
        <v>234</v>
      </c>
      <c r="C21" s="17"/>
      <c r="D21" s="17"/>
      <c r="E21" s="17"/>
    </row>
  </sheetData>
  <mergeCells count="11">
    <mergeCell ref="B3:E3"/>
    <mergeCell ref="B6:E6"/>
    <mergeCell ref="B7:E7"/>
    <mergeCell ref="B11:E11"/>
    <mergeCell ref="B12:E12"/>
    <mergeCell ref="B21:E21"/>
    <mergeCell ref="B13:E13"/>
    <mergeCell ref="B14:E14"/>
    <mergeCell ref="B15:E15"/>
    <mergeCell ref="B16:E16"/>
    <mergeCell ref="B17:E1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Cover</vt:lpstr>
      <vt:lpstr>Exp1 Diode</vt:lpstr>
      <vt:lpstr>Exp2 Lamp</vt:lpstr>
      <vt:lpstr>Exp3 FuncGen Zout</vt:lpstr>
      <vt:lpstr>Exp4 RC</vt:lpstr>
      <vt:lpstr>Exp5 Bridge</vt:lpstr>
      <vt:lpstr>Background Qs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Darius Gichuru</cp:lastModifiedBy>
  <cp:revision>0</cp:revision>
  <dcterms:created xsi:type="dcterms:W3CDTF">2026-09-10T01:58:41Z</dcterms:created>
  <dcterms:modified xsi:type="dcterms:W3CDTF">2026-09-11T18:35:24Z</dcterms:modified>
  <dc:language>en-US</dc:language>
</cp:coreProperties>
</file>