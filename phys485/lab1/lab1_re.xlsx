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L.1 Ohm's Law" sheetId="2" state="visible" r:id="rId4"/>
    <sheet name="1L.3 Voltage Divid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<sst xmlns="http://schemas.openxmlformats.org/spreadsheetml/2006/main" count="69" uniqueCount="68">
  <si>
    <t xml:space="preserve">PHYS485 — 1L: Lab: DC Circuits</t>
  </si>
  <si>
    <t xml:space="preserve">Author: Darius Gichuru</t>
  </si>
  <si>
    <t xml:space="preserve">Course: PHYS485</t>
  </si>
  <si>
    <t xml:space="preserve">Section: 0102</t>
  </si>
  <si>
    <t xml:space="preserve">Legend</t>
  </si>
  <si>
    <t xml:space="preserve">Yellow cells = fill in during lab (measured values, current limits, answers)</t>
  </si>
  <si>
    <t xml:space="preserve">Blue text = fixed/given values (nominal resistances, supply voltage, etc.)</t>
  </si>
  <si>
    <t xml:space="preserve">Black text = formulas — do not overwrite, they recalculate automatically</t>
  </si>
  <si>
    <t xml:space="preserve">Tabs: 1L.1 Ohm's Law | 1L.3 Voltage Divider</t>
  </si>
  <si>
    <t xml:space="preserve">1L.1 — Ohm's Law</t>
  </si>
  <si>
    <t xml:space="preserve">Lecture questions (answer in the cells below)</t>
  </si>
  <si>
    <t xml:space="preserve">1. What does it mean to "verify" Ohm's law? What measurements/graphs show this relation? What are the key aspects that verify it?</t>
  </si>
  <si>
    <t xml:space="preserve">2. Assuming your resistors are 1/8-watt, 15kΩ, what is the maximum voltage you can use?</t>
  </si>
  <si>
    <t xml:space="preserve">3. What is the current limit on your ammeter? What does this imply about voltage values for a 15kΩ resistor?</t>
  </si>
  <si>
    <t xml:space="preserve">4. What graph should you make?</t>
  </si>
  <si>
    <t xml:space="preserve">5. How many data points should you take? Why did you choose that many?</t>
  </si>
  <si>
    <t xml:space="preserve">6. Never use the voltage shown on the power supply screen — always measure with the multimeter. Why?</t>
  </si>
  <si>
    <t xml:space="preserve">7. Volt/ohmmeters vs. ammeters: which goes in parallel? Which in series? Why?</t>
  </si>
  <si>
    <t xml:space="preserve">Constants &amp; voltage ceiling</t>
  </si>
  <si>
    <t xml:space="preserve">R_nominal (Ω)</t>
  </si>
  <si>
    <t xml:space="preserve">P_max (W, 1/8 watt)</t>
  </si>
  <si>
    <t xml:space="preserve">Ammeter current limit I_max (A) — check meter's input label</t>
  </si>
  <si>
    <t xml:space="preserve">Max voltage from power rating (V)</t>
  </si>
  <si>
    <t xml:space="preserve">Max voltage from ammeter limit (V)</t>
  </si>
  <si>
    <t xml:space="preserve">V_MAX to use (safe ceiling)</t>
  </si>
  <si>
    <t xml:space="preserve">Measured data (fill in yellow cells during lab)</t>
  </si>
  <si>
    <t xml:space="preserve">Point #</t>
  </si>
  <si>
    <t xml:space="preserve">V_set (V) — target</t>
  </si>
  <si>
    <t xml:space="preserve">V_measured (V)</t>
  </si>
  <si>
    <t xml:space="preserve">I_measured (A)</t>
  </si>
  <si>
    <t xml:space="preserve">Linear fit: V = I * R  (slope = R)</t>
  </si>
  <si>
    <t xml:space="preserve">R_fit (Ω) — SLOPE of V_measured vs I_measured</t>
  </si>
  <si>
    <t xml:space="preserve">Intercept (V)</t>
  </si>
  <si>
    <t xml:space="preserve">Nominal R (Ω)</t>
  </si>
  <si>
    <t xml:space="preserve">% difference (fit vs nominal)</t>
  </si>
  <si>
    <t xml:space="preserve">1L.3 — Voltage Divider &amp; Thevenin Equivalent</t>
  </si>
  <si>
    <t xml:space="preserve">1. When doing this experiment, should you use the nominal or measured values of the resistance? Why?</t>
  </si>
  <si>
    <t xml:space="preserve">2. Discuss the short-circuit-current text (top of page 30) with your instructor before wiring — notes here.</t>
  </si>
  <si>
    <t xml:space="preserve">Circuit constants (given)</t>
  </si>
  <si>
    <t xml:space="preserve">Vin (V)</t>
  </si>
  <si>
    <t xml:space="preserve">R1 (Ω)</t>
  </si>
  <si>
    <t xml:space="preserve">R2 (Ω)</t>
  </si>
  <si>
    <t xml:space="preserve">Rload (Ω)</t>
  </si>
  <si>
    <t xml:space="preserve">Expected values (from circuit theory)</t>
  </si>
  <si>
    <t xml:space="preserve">Expected V_output (open circuit)</t>
  </si>
  <si>
    <t xml:space="preserve">R2 || Rload</t>
  </si>
  <si>
    <t xml:space="preserve">Expected V_output (loaded, 7.5k)</t>
  </si>
  <si>
    <t xml:space="preserve">Expected I_short_circuit (A)</t>
  </si>
  <si>
    <t xml:space="preserve">Expected R_Thev (Ω) = R1 || R2</t>
  </si>
  <si>
    <t xml:space="preserve">Your measurements (fill in yellow cells during lab)</t>
  </si>
  <si>
    <t xml:space="preserve">V_output measured — open circuit (V)</t>
  </si>
  <si>
    <t xml:space="preserve">V_output measured — loaded, 7.5k (V)</t>
  </si>
  <si>
    <t xml:space="preserve">I_short_circuit measured (A)</t>
  </si>
  <si>
    <t xml:space="preserve">Calculated Thevenin equivalent (from YOUR data)</t>
  </si>
  <si>
    <t xml:space="preserve">R_Thev = V_output / I_short_circuit (Ω)</t>
  </si>
  <si>
    <t xml:space="preserve">V_Thev = V_output (open circuit) (V)</t>
  </si>
  <si>
    <t xml:space="preserve">Verify: Thevenin-equivalent circuit reproduces loaded output</t>
  </si>
  <si>
    <t xml:space="preserve">Predicted loaded V_out from Thevenin model (V)</t>
  </si>
  <si>
    <t xml:space="preserve">Measured loaded V_out (from above)</t>
  </si>
  <si>
    <t xml:space="preserve">Difference (V)</t>
  </si>
  <si>
    <t xml:space="preserve">Summary</t>
  </si>
  <si>
    <t xml:space="preserve">Quantity</t>
  </si>
  <si>
    <t xml:space="preserve">Expected</t>
  </si>
  <si>
    <t xml:space="preserve">Measured</t>
  </si>
  <si>
    <t xml:space="preserve">V_output (open), V</t>
  </si>
  <si>
    <t xml:space="preserve">V_output (loaded), V</t>
  </si>
  <si>
    <t xml:space="preserve">I_short_circuit, mA</t>
  </si>
  <si>
    <t xml:space="preserve">R_Thev, Ohm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</si>
</sst>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6" t="s">
        <v>7</v>
      </c>
    </row>
    <row r="12" customFormat="false" ht="1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7" t="s">
        <v>9</v>
      </c>
    </row>
    <row r="3" customFormat="false" ht="15" hidden="false" customHeight="false" outlineLevel="0" collapsed="false">
      <c r="A3" s="3" t="s">
        <v>10</v>
      </c>
    </row>
    <row r="4" customFormat="false" ht="30" hidden="false" customHeight="true" outlineLevel="0" collapsed="false">
      <c r="A4" s="6" t="s">
        <v>11</v>
      </c>
      <c r="B4" s="8"/>
      <c r="C4" s="8"/>
      <c r="D4" s="8"/>
      <c r="E4" s="8"/>
    </row>
    <row r="5" customFormat="false" ht="30" hidden="false" customHeight="true" outlineLevel="0" collapsed="false">
      <c r="A5" s="6" t="s">
        <v>12</v>
      </c>
      <c r="B5" s="8"/>
      <c r="C5" s="8"/>
      <c r="D5" s="8"/>
      <c r="E5" s="8"/>
    </row>
    <row r="6" customFormat="false" ht="30" hidden="false" customHeight="true" outlineLevel="0" collapsed="false">
      <c r="A6" s="6" t="s">
        <v>13</v>
      </c>
      <c r="B6" s="8"/>
      <c r="C6" s="8"/>
      <c r="D6" s="8"/>
      <c r="E6" s="8"/>
    </row>
    <row r="7" customFormat="false" ht="30" hidden="false" customHeight="true" outlineLevel="0" collapsed="false">
      <c r="A7" s="6" t="s">
        <v>14</v>
      </c>
      <c r="B7" s="8"/>
      <c r="C7" s="8"/>
      <c r="D7" s="8"/>
      <c r="E7" s="8"/>
    </row>
    <row r="8" customFormat="false" ht="30" hidden="false" customHeight="true" outlineLevel="0" collapsed="false">
      <c r="A8" s="6" t="s">
        <v>15</v>
      </c>
      <c r="B8" s="8"/>
      <c r="C8" s="8"/>
      <c r="D8" s="8"/>
      <c r="E8" s="8"/>
    </row>
    <row r="9" customFormat="false" ht="30" hidden="false" customHeight="true" outlineLevel="0" collapsed="false">
      <c r="A9" s="6" t="s">
        <v>16</v>
      </c>
      <c r="B9" s="8"/>
      <c r="C9" s="8"/>
      <c r="D9" s="8"/>
      <c r="E9" s="8"/>
    </row>
    <row r="10" customFormat="false" ht="30" hidden="false" customHeight="true" outlineLevel="0" collapsed="false">
      <c r="A10" s="6" t="s">
        <v>17</v>
      </c>
      <c r="B10" s="8"/>
      <c r="C10" s="8"/>
      <c r="D10" s="8"/>
      <c r="E10" s="8"/>
    </row>
    <row r="12" customFormat="false" ht="15" hidden="false" customHeight="false" outlineLevel="0" collapsed="false">
      <c r="A12" s="3" t="s">
        <v>18</v>
      </c>
    </row>
    <row r="13" customFormat="false" ht="15" hidden="false" customHeight="false" outlineLevel="0" collapsed="false">
      <c r="A13" s="2" t="s">
        <v>19</v>
      </c>
      <c r="B13" s="9" t="n">
        <v>15000</v>
      </c>
    </row>
    <row r="14" customFormat="false" ht="15" hidden="false" customHeight="false" outlineLevel="0" collapsed="false">
      <c r="A14" s="2" t="s">
        <v>20</v>
      </c>
      <c r="B14" s="9" t="n">
        <v>0.125</v>
      </c>
    </row>
    <row r="15" customFormat="false" ht="15" hidden="false" customHeight="false" outlineLevel="0" collapsed="false">
      <c r="A15" s="2" t="s">
        <v>21</v>
      </c>
      <c r="B15" s="9" t="n">
        <v>0.2</v>
      </c>
    </row>
    <row r="16" customFormat="false" ht="15" hidden="false" customHeight="false" outlineLevel="0" collapsed="false">
      <c r="A16" s="2" t="s">
        <v>22</v>
      </c>
      <c r="B16" s="2" t="n">
        <f aca="false">SQRT(B14*B13)</f>
        <v>43.3012701892219</v>
      </c>
    </row>
    <row r="17" customFormat="false" ht="15" hidden="false" customHeight="false" outlineLevel="0" collapsed="false">
      <c r="A17" s="2" t="s">
        <v>23</v>
      </c>
      <c r="B17" s="2" t="n">
        <f aca="false">B15*B13</f>
        <v>3000</v>
      </c>
    </row>
    <row r="18" customFormat="false" ht="15" hidden="false" customHeight="false" outlineLevel="0" collapsed="false">
      <c r="A18" s="10" t="s">
        <v>24</v>
      </c>
      <c r="B18" s="10" t="n">
        <f aca="false">MIN(B16,B17)</f>
        <v>43.3012701892219</v>
      </c>
    </row>
    <row r="20" customFormat="false" ht="15" hidden="false" customHeight="false" outlineLevel="0" collapsed="false">
      <c r="A20" s="3" t="s">
        <v>25</v>
      </c>
    </row>
    <row r="21" customFormat="false" ht="15" hidden="false" customHeight="false" outlineLevel="0" collapsed="false">
      <c r="A21" s="11" t="s">
        <v>26</v>
      </c>
      <c r="B21" s="11" t="s">
        <v>27</v>
      </c>
      <c r="C21" s="11" t="s">
        <v>28</v>
      </c>
      <c r="D21" s="11" t="s">
        <v>29</v>
      </c>
    </row>
    <row r="22" customFormat="false" ht="15" hidden="false" customHeight="false" outlineLevel="0" collapsed="false">
      <c r="A22" s="2" t="n">
        <v>1</v>
      </c>
      <c r="B22" s="2" t="n">
        <f aca="false">$B$18*0/6</f>
        <v>0</v>
      </c>
      <c r="C22" s="8"/>
      <c r="D22" s="8"/>
    </row>
    <row r="23" customFormat="false" ht="15" hidden="false" customHeight="false" outlineLevel="0" collapsed="false">
      <c r="A23" s="2" t="n">
        <v>2</v>
      </c>
      <c r="B23" s="2" t="n">
        <f aca="false">$B$18*1/6</f>
        <v>7.21687836487032</v>
      </c>
      <c r="C23" s="8"/>
      <c r="D23" s="8"/>
    </row>
    <row r="24" customFormat="false" ht="15" hidden="false" customHeight="false" outlineLevel="0" collapsed="false">
      <c r="A24" s="2" t="n">
        <v>3</v>
      </c>
      <c r="B24" s="2" t="n">
        <f aca="false">$B$18*2/6</f>
        <v>14.4337567297406</v>
      </c>
      <c r="C24" s="8"/>
      <c r="D24" s="8"/>
    </row>
    <row r="25" customFormat="false" ht="15" hidden="false" customHeight="false" outlineLevel="0" collapsed="false">
      <c r="A25" s="2" t="n">
        <v>4</v>
      </c>
      <c r="B25" s="2" t="n">
        <f aca="false">$B$18*3/6</f>
        <v>21.650635094611</v>
      </c>
      <c r="C25" s="8"/>
      <c r="D25" s="8"/>
    </row>
    <row r="26" customFormat="false" ht="15" hidden="false" customHeight="false" outlineLevel="0" collapsed="false">
      <c r="A26" s="2" t="n">
        <v>5</v>
      </c>
      <c r="B26" s="2" t="n">
        <f aca="false">$B$18*4/6</f>
        <v>28.8675134594813</v>
      </c>
      <c r="C26" s="8"/>
      <c r="D26" s="8"/>
    </row>
    <row r="27" customFormat="false" ht="15" hidden="false" customHeight="false" outlineLevel="0" collapsed="false">
      <c r="A27" s="2" t="n">
        <v>6</v>
      </c>
      <c r="B27" s="2" t="n">
        <f aca="false">$B$18*5/6</f>
        <v>36.0843918243516</v>
      </c>
      <c r="C27" s="8"/>
      <c r="D27" s="8"/>
    </row>
    <row r="28" customFormat="false" ht="15" hidden="false" customHeight="false" outlineLevel="0" collapsed="false">
      <c r="A28" s="2" t="n">
        <v>7</v>
      </c>
      <c r="B28" s="2" t="n">
        <f aca="false">$B$18*6/6</f>
        <v>43.3012701892219</v>
      </c>
      <c r="C28" s="8"/>
      <c r="D28" s="8"/>
    </row>
    <row r="30" customFormat="false" ht="15" hidden="false" customHeight="false" outlineLevel="0" collapsed="false">
      <c r="A30" s="3" t="s">
        <v>30</v>
      </c>
    </row>
    <row r="31" customFormat="false" ht="15" hidden="false" customHeight="false" outlineLevel="0" collapsed="false">
      <c r="A31" s="2" t="s">
        <v>31</v>
      </c>
      <c r="B31" s="2" t="str">
        <f aca="false">IFERROR(SLOPE(C22:C28,D22:D28),"enter data above")</f>
        <v>enter data above</v>
      </c>
    </row>
    <row r="32" customFormat="false" ht="15" hidden="false" customHeight="false" outlineLevel="0" collapsed="false">
      <c r="A32" s="2" t="s">
        <v>32</v>
      </c>
      <c r="B32" s="2" t="str">
        <f aca="false">IFERROR(INTERCEPT(C22:C28,D22:D28),"enter data above")</f>
        <v>enter data above</v>
      </c>
    </row>
    <row r="33" customFormat="false" ht="15" hidden="false" customHeight="false" outlineLevel="0" collapsed="false">
      <c r="A33" s="2" t="s">
        <v>33</v>
      </c>
      <c r="B33" s="2" t="n">
        <f aca="false">B13</f>
        <v>15000</v>
      </c>
    </row>
    <row r="34" customFormat="false" ht="15" hidden="false" customHeight="false" outlineLevel="0" collapsed="false">
      <c r="A34" s="10" t="s">
        <v>34</v>
      </c>
      <c r="B34" s="12" t="str">
        <f aca="false">IFERROR(ABS(B31-B33)/B33,"enter data above")</f>
        <v>enter data above</v>
      </c>
    </row>
  </sheetData>
  <mergeCells count="7">
    <mergeCell ref="B4:E4"/>
    <mergeCell ref="B5:E5"/>
    <mergeCell ref="B6:E6"/>
    <mergeCell ref="B7:E7"/>
    <mergeCell ref="B8:E8"/>
    <mergeCell ref="B9:E9"/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7" t="s">
        <v>35</v>
      </c>
    </row>
    <row r="3" customFormat="false" ht="15" hidden="false" customHeight="false" outlineLevel="0" collapsed="false">
      <c r="A3" s="3" t="s">
        <v>10</v>
      </c>
    </row>
    <row r="4" customFormat="false" ht="30" hidden="false" customHeight="true" outlineLevel="0" collapsed="false">
      <c r="A4" s="6" t="s">
        <v>36</v>
      </c>
      <c r="B4" s="8"/>
      <c r="C4" s="8"/>
      <c r="D4" s="8"/>
      <c r="E4" s="8"/>
    </row>
    <row r="5" customFormat="false" ht="30" hidden="false" customHeight="true" outlineLevel="0" collapsed="false">
      <c r="A5" s="6" t="s">
        <v>37</v>
      </c>
      <c r="B5" s="8"/>
      <c r="C5" s="8"/>
      <c r="D5" s="8"/>
      <c r="E5" s="8"/>
    </row>
    <row r="7" customFormat="false" ht="15" hidden="false" customHeight="false" outlineLevel="0" collapsed="false">
      <c r="A7" s="3" t="s">
        <v>38</v>
      </c>
    </row>
    <row r="8" customFormat="false" ht="15" hidden="false" customHeight="false" outlineLevel="0" collapsed="false">
      <c r="A8" s="2" t="s">
        <v>39</v>
      </c>
      <c r="B8" s="9" t="n">
        <v>15</v>
      </c>
    </row>
    <row r="9" customFormat="false" ht="15" hidden="false" customHeight="false" outlineLevel="0" collapsed="false">
      <c r="A9" s="2" t="s">
        <v>40</v>
      </c>
      <c r="B9" s="9" t="n">
        <v>15000</v>
      </c>
    </row>
    <row r="10" customFormat="false" ht="15" hidden="false" customHeight="false" outlineLevel="0" collapsed="false">
      <c r="A10" s="2" t="s">
        <v>41</v>
      </c>
      <c r="B10" s="9" t="n">
        <v>15000</v>
      </c>
    </row>
    <row r="11" customFormat="false" ht="15" hidden="false" customHeight="false" outlineLevel="0" collapsed="false">
      <c r="A11" s="2" t="s">
        <v>42</v>
      </c>
      <c r="B11" s="9" t="n">
        <v>7500</v>
      </c>
    </row>
    <row r="13" customFormat="false" ht="15" hidden="false" customHeight="false" outlineLevel="0" collapsed="false">
      <c r="A13" s="3" t="s">
        <v>43</v>
      </c>
    </row>
    <row r="14" customFormat="false" ht="15" hidden="false" customHeight="false" outlineLevel="0" collapsed="false">
      <c r="A14" s="2" t="s">
        <v>44</v>
      </c>
      <c r="B14" s="2" t="n">
        <f aca="false">B8*B10/(B9+B10)</f>
        <v>7.5</v>
      </c>
    </row>
    <row r="15" customFormat="false" ht="15" hidden="false" customHeight="false" outlineLevel="0" collapsed="false">
      <c r="A15" s="2" t="s">
        <v>45</v>
      </c>
      <c r="B15" s="2" t="n">
        <f aca="false">(B10*B11)/(B10+B11)</f>
        <v>5000</v>
      </c>
    </row>
    <row r="16" customFormat="false" ht="15" hidden="false" customHeight="false" outlineLevel="0" collapsed="false">
      <c r="A16" s="2" t="s">
        <v>46</v>
      </c>
      <c r="B16" s="2" t="n">
        <f aca="false">B8*B15/(B9+B15)</f>
        <v>3.75</v>
      </c>
    </row>
    <row r="17" customFormat="false" ht="15" hidden="false" customHeight="false" outlineLevel="0" collapsed="false">
      <c r="A17" s="2" t="s">
        <v>47</v>
      </c>
      <c r="B17" s="2" t="n">
        <f aca="false">B8/B9</f>
        <v>0.001</v>
      </c>
    </row>
    <row r="18" customFormat="false" ht="15" hidden="false" customHeight="false" outlineLevel="0" collapsed="false">
      <c r="A18" s="2" t="s">
        <v>48</v>
      </c>
      <c r="B18" s="2" t="n">
        <f aca="false">(B9*B10)/(B9+B10)</f>
        <v>7500</v>
      </c>
    </row>
    <row r="20" customFormat="false" ht="15" hidden="false" customHeight="false" outlineLevel="0" collapsed="false">
      <c r="A20" s="3" t="s">
        <v>49</v>
      </c>
    </row>
    <row r="21" customFormat="false" ht="15" hidden="false" customHeight="false" outlineLevel="0" collapsed="false">
      <c r="A21" s="2" t="s">
        <v>50</v>
      </c>
      <c r="B21" s="8"/>
    </row>
    <row r="22" customFormat="false" ht="15" hidden="false" customHeight="false" outlineLevel="0" collapsed="false">
      <c r="A22" s="2" t="s">
        <v>51</v>
      </c>
      <c r="B22" s="8"/>
    </row>
    <row r="23" customFormat="false" ht="15" hidden="false" customHeight="false" outlineLevel="0" collapsed="false">
      <c r="A23" s="2" t="s">
        <v>52</v>
      </c>
      <c r="B23" s="8"/>
    </row>
    <row r="25" customFormat="false" ht="15" hidden="false" customHeight="false" outlineLevel="0" collapsed="false">
      <c r="A25" s="3" t="s">
        <v>53</v>
      </c>
    </row>
    <row r="26" customFormat="false" ht="15" hidden="false" customHeight="false" outlineLevel="0" collapsed="false">
      <c r="A26" s="10" t="s">
        <v>54</v>
      </c>
      <c r="B26" s="10" t="str">
        <f aca="false">IFERROR(B21/B23,"enter data above")</f>
        <v>enter data above</v>
      </c>
    </row>
    <row r="27" customFormat="false" ht="15" hidden="false" customHeight="false" outlineLevel="0" collapsed="false">
      <c r="A27" s="10" t="s">
        <v>55</v>
      </c>
      <c r="B27" s="10" t="n">
        <f aca="false">B21</f>
        <v>0</v>
      </c>
    </row>
    <row r="29" customFormat="false" ht="15" hidden="false" customHeight="false" outlineLevel="0" collapsed="false">
      <c r="A29" s="3" t="s">
        <v>56</v>
      </c>
    </row>
    <row r="30" customFormat="false" ht="15" hidden="false" customHeight="false" outlineLevel="0" collapsed="false">
      <c r="A30" s="2" t="s">
        <v>57</v>
      </c>
      <c r="B30" s="2" t="str">
        <f aca="false">IFERROR(B27*B11/(B26+B11),"enter data above")</f>
        <v>enter data above</v>
      </c>
    </row>
    <row r="31" customFormat="false" ht="15" hidden="false" customHeight="false" outlineLevel="0" collapsed="false">
      <c r="A31" s="2" t="s">
        <v>58</v>
      </c>
      <c r="B31" s="2" t="n">
        <f aca="false">B22</f>
        <v>0</v>
      </c>
    </row>
    <row r="32" customFormat="false" ht="15" hidden="false" customHeight="false" outlineLevel="0" collapsed="false">
      <c r="A32" s="10" t="s">
        <v>59</v>
      </c>
      <c r="B32" s="10" t="str">
        <f aca="false">IFERROR(ABS(B30-B22),"enter data above")</f>
        <v>enter data above</v>
      </c>
    </row>
    <row r="34" customFormat="false" ht="15" hidden="false" customHeight="false" outlineLevel="0" collapsed="false">
      <c r="A34" s="3" t="s">
        <v>60</v>
      </c>
    </row>
    <row r="35" customFormat="false" ht="15" hidden="false" customHeight="false" outlineLevel="0" collapsed="false">
      <c r="A35" s="11" t="s">
        <v>61</v>
      </c>
      <c r="B35" s="11" t="s">
        <v>62</v>
      </c>
      <c r="C35" s="11" t="s">
        <v>63</v>
      </c>
    </row>
    <row r="36" customFormat="false" ht="15" hidden="false" customHeight="false" outlineLevel="0" collapsed="false">
      <c r="A36" s="13" t="s">
        <v>64</v>
      </c>
      <c r="B36" s="13" t="n">
        <f aca="false">B14</f>
        <v>7.5</v>
      </c>
      <c r="C36" s="13" t="n">
        <f aca="false">B21</f>
        <v>0</v>
      </c>
    </row>
    <row r="37" customFormat="false" ht="15" hidden="false" customHeight="false" outlineLevel="0" collapsed="false">
      <c r="A37" s="13" t="s">
        <v>65</v>
      </c>
      <c r="B37" s="13" t="n">
        <f aca="false">B16</f>
        <v>3.75</v>
      </c>
      <c r="C37" s="13" t="n">
        <f aca="false">B22</f>
        <v>0</v>
      </c>
    </row>
    <row r="38" customFormat="false" ht="15" hidden="false" customHeight="false" outlineLevel="0" collapsed="false">
      <c r="A38" s="13" t="s">
        <v>66</v>
      </c>
      <c r="B38" s="13" t="n">
        <f aca="false">B17*1000</f>
        <v>1</v>
      </c>
      <c r="C38" s="13" t="n">
        <f aca="false">B23*1000</f>
        <v>0</v>
      </c>
    </row>
    <row r="39" customFormat="false" ht="15" hidden="false" customHeight="false" outlineLevel="0" collapsed="false">
      <c r="A39" s="13" t="s">
        <v>67</v>
      </c>
      <c r="B39" s="13" t="n">
        <f aca="false">B18</f>
        <v>7500</v>
      </c>
      <c r="C39" s="13" t="str">
        <f aca="false">B26</f>
        <v>enter data above</v>
      </c>
    </row>
  </sheetData>
  <mergeCells count="2">
    <mergeCell ref="B4:E4"/>
    <mergeCell ref="B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2026-09-02T11:59:19Z</dcterms:created>
  <dc:creator>openpyxl</dc:creator>
  <dc:description/>
  <dc:language>en-US</dc:language>
  <cp:lastModifiedBy/>
  <dcterms:modified xsi:type="dcterms:W3CDTF">2026-09-02T11:59:19Z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